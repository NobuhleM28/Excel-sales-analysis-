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hle\Downloads\"/>
    </mc:Choice>
  </mc:AlternateContent>
  <xr:revisionPtr revIDLastSave="0" documentId="13_ncr:1_{B4957981-3F41-40A0-9C40-029786152BB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3" sheetId="4" r:id="rId1"/>
    <sheet name="Sheet1" sheetId="2" r:id="rId2"/>
    <sheet name="Sheet2" sheetId="3" r:id="rId3"/>
    <sheet name="Sheet4" sheetId="5" r:id="rId4"/>
    <sheet name="RetailSales" sheetId="1" r:id="rId5"/>
  </sheets>
  <calcPr calcId="191029"/>
  <pivotCaches>
    <pivotCache cacheId="0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9" i="1"/>
  <c r="N21" i="1"/>
  <c r="N20" i="1"/>
  <c r="N18" i="1"/>
  <c r="N17" i="1"/>
  <c r="N22" i="1" s="1"/>
</calcChain>
</file>

<file path=xl/sharedStrings.xml><?xml version="1.0" encoding="utf-8"?>
<sst xmlns="http://schemas.openxmlformats.org/spreadsheetml/2006/main" count="1718" uniqueCount="364">
  <si>
    <t>Order_ID</t>
  </si>
  <si>
    <t>Date</t>
  </si>
  <si>
    <t>Customer</t>
  </si>
  <si>
    <t>Product</t>
  </si>
  <si>
    <t>Category</t>
  </si>
  <si>
    <t>Units</t>
  </si>
  <si>
    <t>Unit_Price</t>
  </si>
  <si>
    <t>Revenue</t>
  </si>
  <si>
    <t>City</t>
  </si>
  <si>
    <t>Salesperson</t>
  </si>
  <si>
    <t>O1001</t>
  </si>
  <si>
    <t>2025-01-01</t>
  </si>
  <si>
    <t>Customer_1</t>
  </si>
  <si>
    <t>Desk</t>
  </si>
  <si>
    <t>Furniture</t>
  </si>
  <si>
    <t>Johannesburg</t>
  </si>
  <si>
    <t>Mary</t>
  </si>
  <si>
    <t>O1002</t>
  </si>
  <si>
    <t>2025-01-02</t>
  </si>
  <si>
    <t>Customer_2</t>
  </si>
  <si>
    <t>Tablet</t>
  </si>
  <si>
    <t>Electronics</t>
  </si>
  <si>
    <t>Cape Town</t>
  </si>
  <si>
    <t>John</t>
  </si>
  <si>
    <t>O1003</t>
  </si>
  <si>
    <t>2025-01-03</t>
  </si>
  <si>
    <t>Customer_3</t>
  </si>
  <si>
    <t>Laptop</t>
  </si>
  <si>
    <t>David</t>
  </si>
  <si>
    <t>O1004</t>
  </si>
  <si>
    <t>2025-01-04</t>
  </si>
  <si>
    <t>Customer_4</t>
  </si>
  <si>
    <t>Phone</t>
  </si>
  <si>
    <t>O1005</t>
  </si>
  <si>
    <t>2025-01-05</t>
  </si>
  <si>
    <t>Customer_5</t>
  </si>
  <si>
    <t>O1006</t>
  </si>
  <si>
    <t>2025-01-06</t>
  </si>
  <si>
    <t>Customer_6</t>
  </si>
  <si>
    <t>Durban</t>
  </si>
  <si>
    <t>O1007</t>
  </si>
  <si>
    <t>2025-01-07</t>
  </si>
  <si>
    <t>Customer_7</t>
  </si>
  <si>
    <t>Sarah</t>
  </si>
  <si>
    <t>O1008</t>
  </si>
  <si>
    <t>2025-01-08</t>
  </si>
  <si>
    <t>Customer_8</t>
  </si>
  <si>
    <t>Chair</t>
  </si>
  <si>
    <t>O1009</t>
  </si>
  <si>
    <t>2025-01-09</t>
  </si>
  <si>
    <t>Customer_9</t>
  </si>
  <si>
    <t>O1010</t>
  </si>
  <si>
    <t>2025-01-10</t>
  </si>
  <si>
    <t>Customer_10</t>
  </si>
  <si>
    <t>Pretoria</t>
  </si>
  <si>
    <t>O1011</t>
  </si>
  <si>
    <t>2025-01-11</t>
  </si>
  <si>
    <t>Customer_11</t>
  </si>
  <si>
    <t>O1012</t>
  </si>
  <si>
    <t>2025-01-12</t>
  </si>
  <si>
    <t>Customer_12</t>
  </si>
  <si>
    <t>O1013</t>
  </si>
  <si>
    <t>2025-01-13</t>
  </si>
  <si>
    <t>Customer_13</t>
  </si>
  <si>
    <t>O1014</t>
  </si>
  <si>
    <t>2025-01-14</t>
  </si>
  <si>
    <t>Customer_14</t>
  </si>
  <si>
    <t>O1015</t>
  </si>
  <si>
    <t>2025-01-15</t>
  </si>
  <si>
    <t>Customer_15</t>
  </si>
  <si>
    <t>O1016</t>
  </si>
  <si>
    <t>2025-01-16</t>
  </si>
  <si>
    <t>Customer_16</t>
  </si>
  <si>
    <t>O1017</t>
  </si>
  <si>
    <t>2025-01-17</t>
  </si>
  <si>
    <t>Customer_17</t>
  </si>
  <si>
    <t>O1018</t>
  </si>
  <si>
    <t>2025-01-18</t>
  </si>
  <si>
    <t>Customer_18</t>
  </si>
  <si>
    <t>O1019</t>
  </si>
  <si>
    <t>2025-01-19</t>
  </si>
  <si>
    <t>Customer_19</t>
  </si>
  <si>
    <t>O1020</t>
  </si>
  <si>
    <t>2025-01-20</t>
  </si>
  <si>
    <t>Customer_20</t>
  </si>
  <si>
    <t>O1021</t>
  </si>
  <si>
    <t>2025-01-21</t>
  </si>
  <si>
    <t>Customer_21</t>
  </si>
  <si>
    <t>O1022</t>
  </si>
  <si>
    <t>2025-01-22</t>
  </si>
  <si>
    <t>Customer_22</t>
  </si>
  <si>
    <t>O1023</t>
  </si>
  <si>
    <t>2025-01-23</t>
  </si>
  <si>
    <t>Customer_23</t>
  </si>
  <si>
    <t>O1024</t>
  </si>
  <si>
    <t>2025-01-24</t>
  </si>
  <si>
    <t>Customer_24</t>
  </si>
  <si>
    <t>O1025</t>
  </si>
  <si>
    <t>2025-01-25</t>
  </si>
  <si>
    <t>Customer_25</t>
  </si>
  <si>
    <t>O1026</t>
  </si>
  <si>
    <t>2025-01-26</t>
  </si>
  <si>
    <t>Customer_26</t>
  </si>
  <si>
    <t>O1027</t>
  </si>
  <si>
    <t>2025-01-27</t>
  </si>
  <si>
    <t>Customer_27</t>
  </si>
  <si>
    <t>O1028</t>
  </si>
  <si>
    <t>2025-01-28</t>
  </si>
  <si>
    <t>Customer_28</t>
  </si>
  <si>
    <t>O1029</t>
  </si>
  <si>
    <t>2025-01-29</t>
  </si>
  <si>
    <t>Customer_29</t>
  </si>
  <si>
    <t>O1030</t>
  </si>
  <si>
    <t>2025-01-30</t>
  </si>
  <si>
    <t>Customer_30</t>
  </si>
  <si>
    <t>O1031</t>
  </si>
  <si>
    <t>2025-01-31</t>
  </si>
  <si>
    <t>Customer_31</t>
  </si>
  <si>
    <t>O1032</t>
  </si>
  <si>
    <t>2025-02-01</t>
  </si>
  <si>
    <t>Customer_32</t>
  </si>
  <si>
    <t>O1033</t>
  </si>
  <si>
    <t>2025-02-02</t>
  </si>
  <si>
    <t>Customer_33</t>
  </si>
  <si>
    <t>O1034</t>
  </si>
  <si>
    <t>2025-02-03</t>
  </si>
  <si>
    <t>Customer_34</t>
  </si>
  <si>
    <t>O1035</t>
  </si>
  <si>
    <t>2025-02-04</t>
  </si>
  <si>
    <t>Customer_35</t>
  </si>
  <si>
    <t>O1036</t>
  </si>
  <si>
    <t>2025-02-05</t>
  </si>
  <si>
    <t>Customer_36</t>
  </si>
  <si>
    <t>O1037</t>
  </si>
  <si>
    <t>2025-02-06</t>
  </si>
  <si>
    <t>Customer_37</t>
  </si>
  <si>
    <t>O1038</t>
  </si>
  <si>
    <t>2025-02-07</t>
  </si>
  <si>
    <t>Customer_38</t>
  </si>
  <si>
    <t>O1039</t>
  </si>
  <si>
    <t>2025-02-08</t>
  </si>
  <si>
    <t>Customer_39</t>
  </si>
  <si>
    <t>O1040</t>
  </si>
  <si>
    <t>2025-02-09</t>
  </si>
  <si>
    <t>Customer_40</t>
  </si>
  <si>
    <t>O1041</t>
  </si>
  <si>
    <t>2025-02-10</t>
  </si>
  <si>
    <t>Customer_41</t>
  </si>
  <si>
    <t>O1042</t>
  </si>
  <si>
    <t>2025-02-11</t>
  </si>
  <si>
    <t>Customer_42</t>
  </si>
  <si>
    <t>O1043</t>
  </si>
  <si>
    <t>2025-02-12</t>
  </si>
  <si>
    <t>Customer_43</t>
  </si>
  <si>
    <t>O1044</t>
  </si>
  <si>
    <t>2025-02-13</t>
  </si>
  <si>
    <t>Customer_44</t>
  </si>
  <si>
    <t>O1045</t>
  </si>
  <si>
    <t>2025-02-14</t>
  </si>
  <si>
    <t>Customer_45</t>
  </si>
  <si>
    <t>O1046</t>
  </si>
  <si>
    <t>2025-02-15</t>
  </si>
  <si>
    <t>Customer_46</t>
  </si>
  <si>
    <t>O1047</t>
  </si>
  <si>
    <t>2025-02-16</t>
  </si>
  <si>
    <t>Customer_47</t>
  </si>
  <si>
    <t>O1048</t>
  </si>
  <si>
    <t>2025-02-17</t>
  </si>
  <si>
    <t>Customer_48</t>
  </si>
  <si>
    <t>O1049</t>
  </si>
  <si>
    <t>2025-02-18</t>
  </si>
  <si>
    <t>Customer_49</t>
  </si>
  <si>
    <t>O1050</t>
  </si>
  <si>
    <t>2025-02-19</t>
  </si>
  <si>
    <t>Customer_50</t>
  </si>
  <si>
    <t>O1051</t>
  </si>
  <si>
    <t>2025-02-20</t>
  </si>
  <si>
    <t>Customer_51</t>
  </si>
  <si>
    <t>O1052</t>
  </si>
  <si>
    <t>2025-02-21</t>
  </si>
  <si>
    <t>Customer_52</t>
  </si>
  <si>
    <t>O1053</t>
  </si>
  <si>
    <t>2025-02-22</t>
  </si>
  <si>
    <t>Customer_53</t>
  </si>
  <si>
    <t>O1054</t>
  </si>
  <si>
    <t>2025-02-23</t>
  </si>
  <si>
    <t>Customer_54</t>
  </si>
  <si>
    <t>O1055</t>
  </si>
  <si>
    <t>2025-02-24</t>
  </si>
  <si>
    <t>Customer_55</t>
  </si>
  <si>
    <t>O1056</t>
  </si>
  <si>
    <t>2025-02-25</t>
  </si>
  <si>
    <t>Customer_56</t>
  </si>
  <si>
    <t>O1057</t>
  </si>
  <si>
    <t>2025-02-26</t>
  </si>
  <si>
    <t>Customer_57</t>
  </si>
  <si>
    <t>O1058</t>
  </si>
  <si>
    <t>2025-02-27</t>
  </si>
  <si>
    <t>Customer_58</t>
  </si>
  <si>
    <t>O1059</t>
  </si>
  <si>
    <t>2025-02-28</t>
  </si>
  <si>
    <t>Customer_59</t>
  </si>
  <si>
    <t>O1060</t>
  </si>
  <si>
    <t>2025-03-01</t>
  </si>
  <si>
    <t>Customer_60</t>
  </si>
  <si>
    <t>O1061</t>
  </si>
  <si>
    <t>2025-03-02</t>
  </si>
  <si>
    <t>Customer_61</t>
  </si>
  <si>
    <t>O1062</t>
  </si>
  <si>
    <t>2025-03-03</t>
  </si>
  <si>
    <t>Customer_62</t>
  </si>
  <si>
    <t>O1063</t>
  </si>
  <si>
    <t>2025-03-04</t>
  </si>
  <si>
    <t>Customer_63</t>
  </si>
  <si>
    <t>O1064</t>
  </si>
  <si>
    <t>2025-03-05</t>
  </si>
  <si>
    <t>Customer_64</t>
  </si>
  <si>
    <t>O1065</t>
  </si>
  <si>
    <t>2025-03-06</t>
  </si>
  <si>
    <t>Customer_65</t>
  </si>
  <si>
    <t>O1066</t>
  </si>
  <si>
    <t>2025-03-07</t>
  </si>
  <si>
    <t>Customer_66</t>
  </si>
  <si>
    <t>O1067</t>
  </si>
  <si>
    <t>2025-03-08</t>
  </si>
  <si>
    <t>Customer_67</t>
  </si>
  <si>
    <t>O1068</t>
  </si>
  <si>
    <t>2025-03-09</t>
  </si>
  <si>
    <t>Customer_68</t>
  </si>
  <si>
    <t>O1069</t>
  </si>
  <si>
    <t>2025-03-10</t>
  </si>
  <si>
    <t>Customer_69</t>
  </si>
  <si>
    <t>O1070</t>
  </si>
  <si>
    <t>2025-03-11</t>
  </si>
  <si>
    <t>Customer_70</t>
  </si>
  <si>
    <t>O1071</t>
  </si>
  <si>
    <t>2025-03-12</t>
  </si>
  <si>
    <t>Customer_71</t>
  </si>
  <si>
    <t>O1072</t>
  </si>
  <si>
    <t>2025-03-13</t>
  </si>
  <si>
    <t>Customer_72</t>
  </si>
  <si>
    <t>O1073</t>
  </si>
  <si>
    <t>2025-03-14</t>
  </si>
  <si>
    <t>Customer_73</t>
  </si>
  <si>
    <t>O1074</t>
  </si>
  <si>
    <t>2025-03-15</t>
  </si>
  <si>
    <t>Customer_74</t>
  </si>
  <si>
    <t>O1075</t>
  </si>
  <si>
    <t>2025-03-16</t>
  </si>
  <si>
    <t>Customer_75</t>
  </si>
  <si>
    <t>O1076</t>
  </si>
  <si>
    <t>2025-03-17</t>
  </si>
  <si>
    <t>Customer_76</t>
  </si>
  <si>
    <t>O1077</t>
  </si>
  <si>
    <t>2025-03-18</t>
  </si>
  <si>
    <t>Customer_77</t>
  </si>
  <si>
    <t>O1078</t>
  </si>
  <si>
    <t>2025-03-19</t>
  </si>
  <si>
    <t>Customer_78</t>
  </si>
  <si>
    <t>O1079</t>
  </si>
  <si>
    <t>2025-03-20</t>
  </si>
  <si>
    <t>Customer_79</t>
  </si>
  <si>
    <t>O1080</t>
  </si>
  <si>
    <t>2025-03-21</t>
  </si>
  <si>
    <t>Customer_80</t>
  </si>
  <si>
    <t>O1081</t>
  </si>
  <si>
    <t>2025-03-22</t>
  </si>
  <si>
    <t>Customer_81</t>
  </si>
  <si>
    <t>O1082</t>
  </si>
  <si>
    <t>2025-03-23</t>
  </si>
  <si>
    <t>Customer_82</t>
  </si>
  <si>
    <t>O1083</t>
  </si>
  <si>
    <t>2025-03-24</t>
  </si>
  <si>
    <t>Customer_83</t>
  </si>
  <si>
    <t>O1084</t>
  </si>
  <si>
    <t>2025-03-25</t>
  </si>
  <si>
    <t>Customer_84</t>
  </si>
  <si>
    <t>O1085</t>
  </si>
  <si>
    <t>2025-03-26</t>
  </si>
  <si>
    <t>Customer_85</t>
  </si>
  <si>
    <t>O1086</t>
  </si>
  <si>
    <t>2025-03-27</t>
  </si>
  <si>
    <t>Customer_86</t>
  </si>
  <si>
    <t>O1087</t>
  </si>
  <si>
    <t>2025-03-28</t>
  </si>
  <si>
    <t>Customer_87</t>
  </si>
  <si>
    <t>O1088</t>
  </si>
  <si>
    <t>2025-03-29</t>
  </si>
  <si>
    <t>Customer_88</t>
  </si>
  <si>
    <t>O1089</t>
  </si>
  <si>
    <t>2025-03-30</t>
  </si>
  <si>
    <t>Customer_89</t>
  </si>
  <si>
    <t>O1090</t>
  </si>
  <si>
    <t>2025-03-31</t>
  </si>
  <si>
    <t>Customer_90</t>
  </si>
  <si>
    <t>O1091</t>
  </si>
  <si>
    <t>Customer_91</t>
  </si>
  <si>
    <t>O1092</t>
  </si>
  <si>
    <t>Customer_92</t>
  </si>
  <si>
    <t>O1093</t>
  </si>
  <si>
    <t>Customer_93</t>
  </si>
  <si>
    <t>O1094</t>
  </si>
  <si>
    <t>Customer_94</t>
  </si>
  <si>
    <t>O1095</t>
  </si>
  <si>
    <t>Customer_95</t>
  </si>
  <si>
    <t>O1096</t>
  </si>
  <si>
    <t>Customer_96</t>
  </si>
  <si>
    <t>O1097</t>
  </si>
  <si>
    <t>Customer_97</t>
  </si>
  <si>
    <t>O1098</t>
  </si>
  <si>
    <t>Customer_98</t>
  </si>
  <si>
    <t>O1099</t>
  </si>
  <si>
    <t>Customer_99</t>
  </si>
  <si>
    <t>O1100</t>
  </si>
  <si>
    <t>Customer_100</t>
  </si>
  <si>
    <t>O1101</t>
  </si>
  <si>
    <t>Customer_101</t>
  </si>
  <si>
    <t>O1102</t>
  </si>
  <si>
    <t>Customer_102</t>
  </si>
  <si>
    <t>O1103</t>
  </si>
  <si>
    <t>Customer_103</t>
  </si>
  <si>
    <t>O1104</t>
  </si>
  <si>
    <t>Customer_104</t>
  </si>
  <si>
    <t>O1105</t>
  </si>
  <si>
    <t>Customer_105</t>
  </si>
  <si>
    <t>O1106</t>
  </si>
  <si>
    <t>Customer_106</t>
  </si>
  <si>
    <t>O1107</t>
  </si>
  <si>
    <t>Customer_107</t>
  </si>
  <si>
    <t>O1108</t>
  </si>
  <si>
    <t>Customer_108</t>
  </si>
  <si>
    <t>O1109</t>
  </si>
  <si>
    <t>Customer_109</t>
  </si>
  <si>
    <t>O1110</t>
  </si>
  <si>
    <t>Customer_110</t>
  </si>
  <si>
    <t>O1111</t>
  </si>
  <si>
    <t>Customer_111</t>
  </si>
  <si>
    <t>O1112</t>
  </si>
  <si>
    <t>Customer_112</t>
  </si>
  <si>
    <t>O1113</t>
  </si>
  <si>
    <t>Customer_113</t>
  </si>
  <si>
    <t>O1114</t>
  </si>
  <si>
    <t>Customer_114</t>
  </si>
  <si>
    <t>O1115</t>
  </si>
  <si>
    <t>Customer_115</t>
  </si>
  <si>
    <t>O1116</t>
  </si>
  <si>
    <t>Customer_116</t>
  </si>
  <si>
    <t>O1117</t>
  </si>
  <si>
    <t>Customer_117</t>
  </si>
  <si>
    <t>O1118</t>
  </si>
  <si>
    <t>Customer_118</t>
  </si>
  <si>
    <t>O1119</t>
  </si>
  <si>
    <t>Customer_119</t>
  </si>
  <si>
    <t>O1120</t>
  </si>
  <si>
    <t>Customer_120</t>
  </si>
  <si>
    <t>Row Labels</t>
  </si>
  <si>
    <t>Grand Total</t>
  </si>
  <si>
    <t>Total</t>
  </si>
  <si>
    <t>KPIs</t>
  </si>
  <si>
    <t>1. Sum of revenue by products</t>
  </si>
  <si>
    <t xml:space="preserve">2. Revenue by product: </t>
  </si>
  <si>
    <t xml:space="preserve">phone </t>
  </si>
  <si>
    <t>SUM OF REVENUE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</si>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</sst>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5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&quot;R&quot;#,##0.00"/>
    </dxf>
    <dxf>
      <numFmt numFmtId="166" formatCode="&quot;R&quot;#,##0.00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numFmt numFmtId="164" formatCode="_-&quot;R&quot;* #,##0_-;\-&quot;R&quot;* #,##0_-;_-&quot;R&quot;* &quot;-&quot;??_-;_-@_-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&quot;R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323851</xdr:colOff>
      <xdr:row>0</xdr:row>
      <xdr:rowOff>66675</xdr:rowOff>
    </xdr:from>
    <xdr:to>
      <xdr:col>6</xdr:col>
      <xdr:colOff>219075</xdr:colOff>
      <xdr:row>13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38CDE2-7E99-1A7C-E395-F0BBA7504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1" y="66675"/>
          <a:ext cx="3552824" cy="251460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476251</xdr:colOff>
      <xdr:row>0</xdr:row>
      <xdr:rowOff>38099</xdr:rowOff>
    </xdr:from>
    <xdr:to>
      <xdr:col>13</xdr:col>
      <xdr:colOff>304800</xdr:colOff>
      <xdr:row>13</xdr:row>
      <xdr:rowOff>66674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DF4BDB-0A3E-AD6D-D725-2A5DB52FE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1" y="38099"/>
          <a:ext cx="3486149" cy="25050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</xdr:row>
      <xdr:rowOff>0</xdr:rowOff>
    </xdr:from>
    <xdr:to>
      <xdr:col>6</xdr:col>
      <xdr:colOff>419101</xdr:colOff>
      <xdr:row>29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D8F300-DE94-E5A2-9000-7F0B67BF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667000"/>
          <a:ext cx="4076700" cy="2857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buhle msezane" refreshedDate="46262.342187847222" createdVersion="8" refreshedVersion="8" minRefreshableVersion="3" recordCount="120" xr:uid="{228E89B3-5932-4E41-8A76-6EB9692FBE61}">
  <cacheSource type="worksheet">
    <worksheetSource name="Table1"/>
  </cacheSource>
  <cacheFields count="10">
    <cacheField name="Order_ID" numFmtId="0">
      <sharedItems/>
    </cacheField>
    <cacheField name="Date" numFmtId="0">
      <sharedItems count="90"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</sharedItems>
    </cacheField>
    <cacheField name="Customer" numFmtId="0">
      <sharedItems count="120">
        <s v="Customer_1"/>
        <s v="Customer_2"/>
        <s v="Customer_3"/>
        <s v="Customer_4"/>
        <s v="Customer_5"/>
        <s v="Customer_6"/>
        <s v="Customer_7"/>
        <s v="Customer_8"/>
        <s v="Customer_9"/>
        <s v="Customer_10"/>
        <s v="Customer_11"/>
        <s v="Customer_12"/>
        <s v="Customer_13"/>
        <s v="Customer_14"/>
        <s v="Customer_15"/>
        <s v="Customer_16"/>
        <s v="Customer_17"/>
        <s v="Customer_18"/>
        <s v="Customer_19"/>
        <s v="Customer_20"/>
        <s v="Customer_21"/>
        <s v="Customer_22"/>
        <s v="Customer_23"/>
        <s v="Customer_24"/>
        <s v="Customer_25"/>
        <s v="Customer_26"/>
        <s v="Customer_27"/>
        <s v="Customer_28"/>
        <s v="Customer_29"/>
        <s v="Customer_30"/>
        <s v="Customer_31"/>
        <s v="Customer_32"/>
        <s v="Customer_33"/>
        <s v="Customer_34"/>
        <s v="Customer_35"/>
        <s v="Customer_36"/>
        <s v="Customer_37"/>
        <s v="Customer_38"/>
        <s v="Customer_39"/>
        <s v="Customer_40"/>
        <s v="Customer_41"/>
        <s v="Customer_42"/>
        <s v="Customer_43"/>
        <s v="Customer_44"/>
        <s v="Customer_45"/>
        <s v="Customer_46"/>
        <s v="Customer_47"/>
        <s v="Customer_48"/>
        <s v="Customer_49"/>
        <s v="Customer_50"/>
        <s v="Customer_51"/>
        <s v="Customer_52"/>
        <s v="Customer_53"/>
        <s v="Customer_54"/>
        <s v="Customer_55"/>
        <s v="Customer_56"/>
        <s v="Customer_57"/>
        <s v="Customer_58"/>
        <s v="Customer_59"/>
        <s v="Customer_60"/>
        <s v="Customer_61"/>
        <s v="Customer_62"/>
        <s v="Customer_63"/>
        <s v="Customer_64"/>
        <s v="Customer_65"/>
        <s v="Customer_66"/>
        <s v="Customer_67"/>
        <s v="Customer_68"/>
        <s v="Customer_69"/>
        <s v="Customer_70"/>
        <s v="Customer_71"/>
        <s v="Customer_72"/>
        <s v="Customer_73"/>
        <s v="Customer_74"/>
        <s v="Customer_75"/>
        <s v="Customer_76"/>
        <s v="Customer_77"/>
        <s v="Customer_78"/>
        <s v="Customer_79"/>
        <s v="Customer_80"/>
        <s v="Customer_81"/>
        <s v="Customer_82"/>
        <s v="Customer_83"/>
        <s v="Customer_84"/>
        <s v="Customer_85"/>
        <s v="Customer_86"/>
        <s v="Customer_87"/>
        <s v="Customer_88"/>
        <s v="Customer_89"/>
        <s v="Customer_90"/>
        <s v="Customer_91"/>
        <s v="Customer_92"/>
        <s v="Customer_93"/>
        <s v="Customer_94"/>
        <s v="Customer_95"/>
        <s v="Customer_96"/>
        <s v="Customer_97"/>
        <s v="Customer_98"/>
        <s v="Customer_99"/>
        <s v="Customer_100"/>
        <s v="Customer_101"/>
        <s v="Customer_102"/>
        <s v="Customer_103"/>
        <s v="Customer_104"/>
        <s v="Customer_105"/>
        <s v="Customer_106"/>
        <s v="Customer_107"/>
        <s v="Customer_108"/>
        <s v="Customer_109"/>
        <s v="Customer_110"/>
        <s v="Customer_111"/>
        <s v="Customer_112"/>
        <s v="Customer_113"/>
        <s v="Customer_114"/>
        <s v="Customer_115"/>
        <s v="Customer_116"/>
        <s v="Customer_117"/>
        <s v="Customer_118"/>
        <s v="Customer_119"/>
        <s v="Customer_120"/>
      </sharedItems>
    </cacheField>
    <cacheField name="Product" numFmtId="0">
      <sharedItems count="5">
        <s v="Desk"/>
        <s v="Tablet"/>
        <s v="Laptop"/>
        <s v="Phone"/>
        <s v="Chair"/>
      </sharedItems>
    </cacheField>
    <cacheField name="Category" numFmtId="0">
      <sharedItems count="2">
        <s v="Furniture"/>
        <s v="Electronics"/>
      </sharedItems>
    </cacheField>
    <cacheField name="Units" numFmtId="0">
      <sharedItems containsSemiMixedTypes="0" containsString="0" containsNumber="1" containsInteger="1" minValue="1" maxValue="5" count="5">
        <n v="3"/>
        <n v="5"/>
        <n v="1"/>
        <n v="2"/>
        <n v="4"/>
      </sharedItems>
    </cacheField>
    <cacheField name="Unit_Price" numFmtId="0">
      <sharedItems containsSemiMixedTypes="0" containsString="0" containsNumber="1" containsInteger="1" minValue="1500" maxValue="12000"/>
    </cacheField>
    <cacheField name="Revenue" numFmtId="0">
      <sharedItems containsSemiMixedTypes="0" containsString="0" containsNumber="1" containsInteger="1" minValue="1500" maxValue="60000" count="20">
        <n v="9000"/>
        <n v="25000"/>
        <n v="36000"/>
        <n v="8000"/>
        <n v="10000"/>
        <n v="60000"/>
        <n v="1500"/>
        <n v="40000"/>
        <n v="5000"/>
        <n v="4500"/>
        <n v="15000"/>
        <n v="24000"/>
        <n v="12000"/>
        <n v="32000"/>
        <n v="16000"/>
        <n v="3000"/>
        <n v="6000"/>
        <n v="7500"/>
        <n v="48000"/>
        <n v="20000"/>
      </sharedItems>
    </cacheField>
    <cacheField name="City" numFmtId="0">
      <sharedItems count="4">
        <s v="Johannesburg"/>
        <s v="Cape Town"/>
        <s v="Durban"/>
        <s v="Pretoria"/>
      </sharedItems>
    </cacheField>
    <cacheField name="Salesperson" numFmtId="0">
      <sharedItems count="4">
        <s v="Mary"/>
        <s v="John"/>
        <s v="David"/>
        <s v="Sarah"/>
      </sharedItems>
    </cacheField>
  </cacheFields>
  <extLst>
    <ext xmlns:x14="http://schemas.microsoft.com/office/spreadsheetml/2009/9/main" uri="{725AE2AE-9491-48be-B2B4-4EB974FC3084}">
      <x14:pivotCacheDefinition pivotCacheId="177501605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buhle msezane" refreshedDate="46265.069125810187" createdVersion="8" refreshedVersion="8" minRefreshableVersion="3" recordCount="121" xr:uid="{C28EC081-3441-47EA-AA78-69145524EDFF}">
  <cacheSource type="worksheet">
    <worksheetSource ref="A1:J1048576" sheet="RetailSales"/>
  </cacheSource>
  <cacheFields count="10">
    <cacheField name="Order_ID" numFmtId="0">
      <sharedItems containsBlank="1"/>
    </cacheField>
    <cacheField name="Date" numFmtId="0">
      <sharedItems containsBlank="1"/>
    </cacheField>
    <cacheField name="Customer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Units" numFmtId="0">
      <sharedItems containsString="0" containsBlank="1" containsNumber="1" containsInteger="1" minValue="1" maxValue="5"/>
    </cacheField>
    <cacheField name="Unit_Price" numFmtId="0">
      <sharedItems containsString="0" containsBlank="1" containsNumber="1" containsInteger="1" minValue="1500" maxValue="12000"/>
    </cacheField>
    <cacheField name="Revenue" numFmtId="0">
      <sharedItems containsString="0" containsBlank="1" containsNumber="1" containsInteger="1" minValue="1500" maxValue="60000"/>
    </cacheField>
    <cacheField name="City" numFmtId="0">
      <sharedItems containsBlank="1"/>
    </cacheField>
    <cacheField name="Salesper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O1001"/>
    <x v="0"/>
    <x v="0"/>
    <x v="0"/>
    <x v="0"/>
    <x v="0"/>
    <n v="3000"/>
    <x v="0"/>
    <x v="0"/>
    <x v="0"/>
  </r>
  <r>
    <s v="O1002"/>
    <x v="1"/>
    <x v="1"/>
    <x v="1"/>
    <x v="1"/>
    <x v="1"/>
    <n v="5000"/>
    <x v="1"/>
    <x v="1"/>
    <x v="1"/>
  </r>
  <r>
    <s v="O1003"/>
    <x v="2"/>
    <x v="2"/>
    <x v="2"/>
    <x v="1"/>
    <x v="0"/>
    <n v="12000"/>
    <x v="2"/>
    <x v="0"/>
    <x v="2"/>
  </r>
  <r>
    <s v="O1004"/>
    <x v="3"/>
    <x v="3"/>
    <x v="3"/>
    <x v="1"/>
    <x v="2"/>
    <n v="8000"/>
    <x v="3"/>
    <x v="0"/>
    <x v="1"/>
  </r>
  <r>
    <s v="O1005"/>
    <x v="4"/>
    <x v="4"/>
    <x v="1"/>
    <x v="1"/>
    <x v="3"/>
    <n v="5000"/>
    <x v="4"/>
    <x v="0"/>
    <x v="2"/>
  </r>
  <r>
    <s v="O1006"/>
    <x v="5"/>
    <x v="5"/>
    <x v="2"/>
    <x v="1"/>
    <x v="1"/>
    <n v="12000"/>
    <x v="5"/>
    <x v="2"/>
    <x v="1"/>
  </r>
  <r>
    <s v="O1007"/>
    <x v="6"/>
    <x v="6"/>
    <x v="3"/>
    <x v="1"/>
    <x v="2"/>
    <n v="8000"/>
    <x v="3"/>
    <x v="1"/>
    <x v="3"/>
  </r>
  <r>
    <s v="O1008"/>
    <x v="7"/>
    <x v="7"/>
    <x v="4"/>
    <x v="0"/>
    <x v="2"/>
    <n v="1500"/>
    <x v="6"/>
    <x v="2"/>
    <x v="1"/>
  </r>
  <r>
    <s v="O1009"/>
    <x v="8"/>
    <x v="8"/>
    <x v="3"/>
    <x v="1"/>
    <x v="1"/>
    <n v="8000"/>
    <x v="7"/>
    <x v="0"/>
    <x v="3"/>
  </r>
  <r>
    <s v="O1010"/>
    <x v="9"/>
    <x v="9"/>
    <x v="1"/>
    <x v="1"/>
    <x v="2"/>
    <n v="5000"/>
    <x v="8"/>
    <x v="3"/>
    <x v="1"/>
  </r>
  <r>
    <s v="O1011"/>
    <x v="10"/>
    <x v="10"/>
    <x v="1"/>
    <x v="1"/>
    <x v="3"/>
    <n v="5000"/>
    <x v="4"/>
    <x v="3"/>
    <x v="2"/>
  </r>
  <r>
    <s v="O1012"/>
    <x v="11"/>
    <x v="11"/>
    <x v="4"/>
    <x v="0"/>
    <x v="0"/>
    <n v="1500"/>
    <x v="9"/>
    <x v="1"/>
    <x v="2"/>
  </r>
  <r>
    <s v="O1013"/>
    <x v="12"/>
    <x v="12"/>
    <x v="1"/>
    <x v="1"/>
    <x v="0"/>
    <n v="5000"/>
    <x v="10"/>
    <x v="1"/>
    <x v="2"/>
  </r>
  <r>
    <s v="O1014"/>
    <x v="13"/>
    <x v="13"/>
    <x v="2"/>
    <x v="1"/>
    <x v="3"/>
    <n v="12000"/>
    <x v="11"/>
    <x v="3"/>
    <x v="0"/>
  </r>
  <r>
    <s v="O1015"/>
    <x v="14"/>
    <x v="14"/>
    <x v="0"/>
    <x v="0"/>
    <x v="0"/>
    <n v="3000"/>
    <x v="0"/>
    <x v="3"/>
    <x v="1"/>
  </r>
  <r>
    <s v="O1016"/>
    <x v="15"/>
    <x v="15"/>
    <x v="0"/>
    <x v="0"/>
    <x v="4"/>
    <n v="3000"/>
    <x v="12"/>
    <x v="2"/>
    <x v="2"/>
  </r>
  <r>
    <s v="O1017"/>
    <x v="16"/>
    <x v="16"/>
    <x v="3"/>
    <x v="1"/>
    <x v="0"/>
    <n v="8000"/>
    <x v="11"/>
    <x v="3"/>
    <x v="2"/>
  </r>
  <r>
    <s v="O1018"/>
    <x v="17"/>
    <x v="17"/>
    <x v="0"/>
    <x v="0"/>
    <x v="1"/>
    <n v="3000"/>
    <x v="10"/>
    <x v="0"/>
    <x v="0"/>
  </r>
  <r>
    <s v="O1019"/>
    <x v="18"/>
    <x v="18"/>
    <x v="1"/>
    <x v="1"/>
    <x v="0"/>
    <n v="5000"/>
    <x v="10"/>
    <x v="1"/>
    <x v="1"/>
  </r>
  <r>
    <s v="O1020"/>
    <x v="19"/>
    <x v="19"/>
    <x v="2"/>
    <x v="1"/>
    <x v="0"/>
    <n v="12000"/>
    <x v="2"/>
    <x v="0"/>
    <x v="2"/>
  </r>
  <r>
    <s v="O1021"/>
    <x v="20"/>
    <x v="20"/>
    <x v="3"/>
    <x v="1"/>
    <x v="1"/>
    <n v="8000"/>
    <x v="7"/>
    <x v="1"/>
    <x v="0"/>
  </r>
  <r>
    <s v="O1022"/>
    <x v="21"/>
    <x v="21"/>
    <x v="1"/>
    <x v="1"/>
    <x v="0"/>
    <n v="5000"/>
    <x v="10"/>
    <x v="2"/>
    <x v="1"/>
  </r>
  <r>
    <s v="O1023"/>
    <x v="22"/>
    <x v="22"/>
    <x v="3"/>
    <x v="1"/>
    <x v="4"/>
    <n v="8000"/>
    <x v="13"/>
    <x v="0"/>
    <x v="0"/>
  </r>
  <r>
    <s v="O1024"/>
    <x v="23"/>
    <x v="23"/>
    <x v="0"/>
    <x v="0"/>
    <x v="1"/>
    <n v="3000"/>
    <x v="10"/>
    <x v="3"/>
    <x v="3"/>
  </r>
  <r>
    <s v="O1025"/>
    <x v="24"/>
    <x v="24"/>
    <x v="3"/>
    <x v="1"/>
    <x v="3"/>
    <n v="8000"/>
    <x v="14"/>
    <x v="1"/>
    <x v="3"/>
  </r>
  <r>
    <s v="O1026"/>
    <x v="25"/>
    <x v="25"/>
    <x v="0"/>
    <x v="0"/>
    <x v="2"/>
    <n v="3000"/>
    <x v="15"/>
    <x v="3"/>
    <x v="1"/>
  </r>
  <r>
    <s v="O1027"/>
    <x v="26"/>
    <x v="26"/>
    <x v="4"/>
    <x v="0"/>
    <x v="4"/>
    <n v="1500"/>
    <x v="16"/>
    <x v="1"/>
    <x v="2"/>
  </r>
  <r>
    <s v="O1028"/>
    <x v="27"/>
    <x v="27"/>
    <x v="0"/>
    <x v="0"/>
    <x v="4"/>
    <n v="3000"/>
    <x v="12"/>
    <x v="0"/>
    <x v="3"/>
  </r>
  <r>
    <s v="O1029"/>
    <x v="28"/>
    <x v="28"/>
    <x v="4"/>
    <x v="0"/>
    <x v="1"/>
    <n v="1500"/>
    <x v="17"/>
    <x v="0"/>
    <x v="3"/>
  </r>
  <r>
    <s v="O1030"/>
    <x v="29"/>
    <x v="29"/>
    <x v="2"/>
    <x v="1"/>
    <x v="3"/>
    <n v="12000"/>
    <x v="11"/>
    <x v="3"/>
    <x v="2"/>
  </r>
  <r>
    <s v="O1031"/>
    <x v="30"/>
    <x v="30"/>
    <x v="0"/>
    <x v="0"/>
    <x v="0"/>
    <n v="3000"/>
    <x v="0"/>
    <x v="1"/>
    <x v="3"/>
  </r>
  <r>
    <s v="O1032"/>
    <x v="31"/>
    <x v="31"/>
    <x v="1"/>
    <x v="1"/>
    <x v="0"/>
    <n v="5000"/>
    <x v="10"/>
    <x v="1"/>
    <x v="3"/>
  </r>
  <r>
    <s v="O1033"/>
    <x v="32"/>
    <x v="32"/>
    <x v="0"/>
    <x v="0"/>
    <x v="2"/>
    <n v="3000"/>
    <x v="15"/>
    <x v="0"/>
    <x v="0"/>
  </r>
  <r>
    <s v="O1034"/>
    <x v="33"/>
    <x v="33"/>
    <x v="0"/>
    <x v="0"/>
    <x v="2"/>
    <n v="3000"/>
    <x v="15"/>
    <x v="2"/>
    <x v="3"/>
  </r>
  <r>
    <s v="O1035"/>
    <x v="34"/>
    <x v="34"/>
    <x v="2"/>
    <x v="1"/>
    <x v="1"/>
    <n v="12000"/>
    <x v="5"/>
    <x v="1"/>
    <x v="1"/>
  </r>
  <r>
    <s v="O1036"/>
    <x v="35"/>
    <x v="35"/>
    <x v="0"/>
    <x v="0"/>
    <x v="3"/>
    <n v="3000"/>
    <x v="16"/>
    <x v="0"/>
    <x v="1"/>
  </r>
  <r>
    <s v="O1037"/>
    <x v="36"/>
    <x v="36"/>
    <x v="1"/>
    <x v="1"/>
    <x v="1"/>
    <n v="5000"/>
    <x v="1"/>
    <x v="1"/>
    <x v="3"/>
  </r>
  <r>
    <s v="O1038"/>
    <x v="37"/>
    <x v="37"/>
    <x v="3"/>
    <x v="1"/>
    <x v="2"/>
    <n v="8000"/>
    <x v="3"/>
    <x v="0"/>
    <x v="2"/>
  </r>
  <r>
    <s v="O1039"/>
    <x v="38"/>
    <x v="38"/>
    <x v="2"/>
    <x v="1"/>
    <x v="0"/>
    <n v="12000"/>
    <x v="2"/>
    <x v="0"/>
    <x v="1"/>
  </r>
  <r>
    <s v="O1040"/>
    <x v="39"/>
    <x v="39"/>
    <x v="4"/>
    <x v="0"/>
    <x v="4"/>
    <n v="1500"/>
    <x v="16"/>
    <x v="3"/>
    <x v="2"/>
  </r>
  <r>
    <s v="O1041"/>
    <x v="40"/>
    <x v="40"/>
    <x v="0"/>
    <x v="0"/>
    <x v="3"/>
    <n v="3000"/>
    <x v="16"/>
    <x v="0"/>
    <x v="2"/>
  </r>
  <r>
    <s v="O1042"/>
    <x v="41"/>
    <x v="41"/>
    <x v="4"/>
    <x v="0"/>
    <x v="3"/>
    <n v="1500"/>
    <x v="15"/>
    <x v="0"/>
    <x v="1"/>
  </r>
  <r>
    <s v="O1043"/>
    <x v="42"/>
    <x v="42"/>
    <x v="0"/>
    <x v="0"/>
    <x v="3"/>
    <n v="3000"/>
    <x v="16"/>
    <x v="0"/>
    <x v="1"/>
  </r>
  <r>
    <s v="O1044"/>
    <x v="43"/>
    <x v="43"/>
    <x v="3"/>
    <x v="1"/>
    <x v="3"/>
    <n v="8000"/>
    <x v="14"/>
    <x v="1"/>
    <x v="0"/>
  </r>
  <r>
    <s v="O1045"/>
    <x v="44"/>
    <x v="44"/>
    <x v="2"/>
    <x v="1"/>
    <x v="4"/>
    <n v="12000"/>
    <x v="18"/>
    <x v="2"/>
    <x v="2"/>
  </r>
  <r>
    <s v="O1046"/>
    <x v="45"/>
    <x v="45"/>
    <x v="1"/>
    <x v="1"/>
    <x v="1"/>
    <n v="5000"/>
    <x v="1"/>
    <x v="0"/>
    <x v="2"/>
  </r>
  <r>
    <s v="O1047"/>
    <x v="46"/>
    <x v="46"/>
    <x v="2"/>
    <x v="1"/>
    <x v="1"/>
    <n v="12000"/>
    <x v="5"/>
    <x v="2"/>
    <x v="1"/>
  </r>
  <r>
    <s v="O1048"/>
    <x v="47"/>
    <x v="47"/>
    <x v="1"/>
    <x v="1"/>
    <x v="3"/>
    <n v="5000"/>
    <x v="4"/>
    <x v="0"/>
    <x v="3"/>
  </r>
  <r>
    <s v="O1049"/>
    <x v="48"/>
    <x v="48"/>
    <x v="0"/>
    <x v="0"/>
    <x v="2"/>
    <n v="3000"/>
    <x v="15"/>
    <x v="0"/>
    <x v="3"/>
  </r>
  <r>
    <s v="O1050"/>
    <x v="49"/>
    <x v="49"/>
    <x v="2"/>
    <x v="1"/>
    <x v="1"/>
    <n v="12000"/>
    <x v="5"/>
    <x v="3"/>
    <x v="1"/>
  </r>
  <r>
    <s v="O1051"/>
    <x v="50"/>
    <x v="50"/>
    <x v="0"/>
    <x v="0"/>
    <x v="1"/>
    <n v="3000"/>
    <x v="10"/>
    <x v="2"/>
    <x v="0"/>
  </r>
  <r>
    <s v="O1052"/>
    <x v="51"/>
    <x v="51"/>
    <x v="2"/>
    <x v="1"/>
    <x v="2"/>
    <n v="12000"/>
    <x v="12"/>
    <x v="2"/>
    <x v="0"/>
  </r>
  <r>
    <s v="O1053"/>
    <x v="52"/>
    <x v="52"/>
    <x v="1"/>
    <x v="1"/>
    <x v="2"/>
    <n v="5000"/>
    <x v="8"/>
    <x v="2"/>
    <x v="3"/>
  </r>
  <r>
    <s v="O1054"/>
    <x v="53"/>
    <x v="53"/>
    <x v="1"/>
    <x v="1"/>
    <x v="0"/>
    <n v="5000"/>
    <x v="10"/>
    <x v="1"/>
    <x v="1"/>
  </r>
  <r>
    <s v="O1055"/>
    <x v="54"/>
    <x v="54"/>
    <x v="3"/>
    <x v="1"/>
    <x v="1"/>
    <n v="8000"/>
    <x v="7"/>
    <x v="0"/>
    <x v="2"/>
  </r>
  <r>
    <s v="O1056"/>
    <x v="55"/>
    <x v="55"/>
    <x v="2"/>
    <x v="1"/>
    <x v="1"/>
    <n v="12000"/>
    <x v="5"/>
    <x v="1"/>
    <x v="0"/>
  </r>
  <r>
    <s v="O1057"/>
    <x v="56"/>
    <x v="56"/>
    <x v="1"/>
    <x v="1"/>
    <x v="2"/>
    <n v="5000"/>
    <x v="8"/>
    <x v="2"/>
    <x v="0"/>
  </r>
  <r>
    <s v="O1058"/>
    <x v="57"/>
    <x v="57"/>
    <x v="2"/>
    <x v="1"/>
    <x v="1"/>
    <n v="12000"/>
    <x v="5"/>
    <x v="2"/>
    <x v="2"/>
  </r>
  <r>
    <s v="O1059"/>
    <x v="58"/>
    <x v="58"/>
    <x v="0"/>
    <x v="0"/>
    <x v="1"/>
    <n v="3000"/>
    <x v="10"/>
    <x v="2"/>
    <x v="3"/>
  </r>
  <r>
    <s v="O1060"/>
    <x v="59"/>
    <x v="59"/>
    <x v="0"/>
    <x v="0"/>
    <x v="2"/>
    <n v="3000"/>
    <x v="15"/>
    <x v="2"/>
    <x v="2"/>
  </r>
  <r>
    <s v="O1061"/>
    <x v="60"/>
    <x v="60"/>
    <x v="2"/>
    <x v="1"/>
    <x v="4"/>
    <n v="12000"/>
    <x v="18"/>
    <x v="1"/>
    <x v="3"/>
  </r>
  <r>
    <s v="O1062"/>
    <x v="61"/>
    <x v="61"/>
    <x v="1"/>
    <x v="1"/>
    <x v="3"/>
    <n v="5000"/>
    <x v="4"/>
    <x v="1"/>
    <x v="2"/>
  </r>
  <r>
    <s v="O1063"/>
    <x v="62"/>
    <x v="62"/>
    <x v="2"/>
    <x v="1"/>
    <x v="3"/>
    <n v="12000"/>
    <x v="11"/>
    <x v="1"/>
    <x v="0"/>
  </r>
  <r>
    <s v="O1064"/>
    <x v="63"/>
    <x v="63"/>
    <x v="3"/>
    <x v="1"/>
    <x v="3"/>
    <n v="8000"/>
    <x v="14"/>
    <x v="3"/>
    <x v="0"/>
  </r>
  <r>
    <s v="O1065"/>
    <x v="64"/>
    <x v="64"/>
    <x v="4"/>
    <x v="0"/>
    <x v="2"/>
    <n v="1500"/>
    <x v="6"/>
    <x v="3"/>
    <x v="1"/>
  </r>
  <r>
    <s v="O1066"/>
    <x v="65"/>
    <x v="65"/>
    <x v="3"/>
    <x v="1"/>
    <x v="1"/>
    <n v="8000"/>
    <x v="7"/>
    <x v="1"/>
    <x v="1"/>
  </r>
  <r>
    <s v="O1067"/>
    <x v="66"/>
    <x v="66"/>
    <x v="3"/>
    <x v="1"/>
    <x v="2"/>
    <n v="8000"/>
    <x v="3"/>
    <x v="3"/>
    <x v="1"/>
  </r>
  <r>
    <s v="O1068"/>
    <x v="67"/>
    <x v="67"/>
    <x v="3"/>
    <x v="1"/>
    <x v="3"/>
    <n v="8000"/>
    <x v="14"/>
    <x v="2"/>
    <x v="0"/>
  </r>
  <r>
    <s v="O1069"/>
    <x v="68"/>
    <x v="68"/>
    <x v="2"/>
    <x v="1"/>
    <x v="4"/>
    <n v="12000"/>
    <x v="18"/>
    <x v="2"/>
    <x v="0"/>
  </r>
  <r>
    <s v="O1070"/>
    <x v="69"/>
    <x v="69"/>
    <x v="4"/>
    <x v="0"/>
    <x v="2"/>
    <n v="1500"/>
    <x v="6"/>
    <x v="3"/>
    <x v="0"/>
  </r>
  <r>
    <s v="O1071"/>
    <x v="70"/>
    <x v="70"/>
    <x v="1"/>
    <x v="1"/>
    <x v="2"/>
    <n v="5000"/>
    <x v="8"/>
    <x v="2"/>
    <x v="2"/>
  </r>
  <r>
    <s v="O1072"/>
    <x v="71"/>
    <x v="71"/>
    <x v="3"/>
    <x v="1"/>
    <x v="3"/>
    <n v="8000"/>
    <x v="14"/>
    <x v="3"/>
    <x v="1"/>
  </r>
  <r>
    <s v="O1073"/>
    <x v="72"/>
    <x v="72"/>
    <x v="4"/>
    <x v="0"/>
    <x v="0"/>
    <n v="1500"/>
    <x v="9"/>
    <x v="1"/>
    <x v="0"/>
  </r>
  <r>
    <s v="O1074"/>
    <x v="73"/>
    <x v="73"/>
    <x v="1"/>
    <x v="1"/>
    <x v="2"/>
    <n v="5000"/>
    <x v="8"/>
    <x v="3"/>
    <x v="1"/>
  </r>
  <r>
    <s v="O1075"/>
    <x v="74"/>
    <x v="74"/>
    <x v="1"/>
    <x v="1"/>
    <x v="1"/>
    <n v="5000"/>
    <x v="1"/>
    <x v="1"/>
    <x v="0"/>
  </r>
  <r>
    <s v="O1076"/>
    <x v="75"/>
    <x v="75"/>
    <x v="1"/>
    <x v="1"/>
    <x v="2"/>
    <n v="5000"/>
    <x v="8"/>
    <x v="2"/>
    <x v="1"/>
  </r>
  <r>
    <s v="O1077"/>
    <x v="76"/>
    <x v="76"/>
    <x v="2"/>
    <x v="1"/>
    <x v="2"/>
    <n v="12000"/>
    <x v="12"/>
    <x v="0"/>
    <x v="3"/>
  </r>
  <r>
    <s v="O1078"/>
    <x v="77"/>
    <x v="77"/>
    <x v="3"/>
    <x v="1"/>
    <x v="2"/>
    <n v="8000"/>
    <x v="3"/>
    <x v="0"/>
    <x v="1"/>
  </r>
  <r>
    <s v="O1079"/>
    <x v="78"/>
    <x v="78"/>
    <x v="2"/>
    <x v="1"/>
    <x v="0"/>
    <n v="12000"/>
    <x v="2"/>
    <x v="2"/>
    <x v="1"/>
  </r>
  <r>
    <s v="O1080"/>
    <x v="79"/>
    <x v="79"/>
    <x v="4"/>
    <x v="0"/>
    <x v="2"/>
    <n v="1500"/>
    <x v="6"/>
    <x v="1"/>
    <x v="0"/>
  </r>
  <r>
    <s v="O1081"/>
    <x v="80"/>
    <x v="80"/>
    <x v="3"/>
    <x v="1"/>
    <x v="1"/>
    <n v="8000"/>
    <x v="7"/>
    <x v="2"/>
    <x v="1"/>
  </r>
  <r>
    <s v="O1082"/>
    <x v="81"/>
    <x v="81"/>
    <x v="3"/>
    <x v="1"/>
    <x v="0"/>
    <n v="8000"/>
    <x v="11"/>
    <x v="0"/>
    <x v="1"/>
  </r>
  <r>
    <s v="O1083"/>
    <x v="82"/>
    <x v="82"/>
    <x v="2"/>
    <x v="1"/>
    <x v="1"/>
    <n v="12000"/>
    <x v="5"/>
    <x v="2"/>
    <x v="2"/>
  </r>
  <r>
    <s v="O1084"/>
    <x v="83"/>
    <x v="83"/>
    <x v="3"/>
    <x v="1"/>
    <x v="2"/>
    <n v="8000"/>
    <x v="3"/>
    <x v="0"/>
    <x v="2"/>
  </r>
  <r>
    <s v="O1085"/>
    <x v="84"/>
    <x v="84"/>
    <x v="2"/>
    <x v="1"/>
    <x v="4"/>
    <n v="12000"/>
    <x v="18"/>
    <x v="2"/>
    <x v="3"/>
  </r>
  <r>
    <s v="O1086"/>
    <x v="85"/>
    <x v="85"/>
    <x v="1"/>
    <x v="1"/>
    <x v="3"/>
    <n v="5000"/>
    <x v="4"/>
    <x v="2"/>
    <x v="1"/>
  </r>
  <r>
    <s v="O1087"/>
    <x v="86"/>
    <x v="86"/>
    <x v="2"/>
    <x v="1"/>
    <x v="0"/>
    <n v="12000"/>
    <x v="2"/>
    <x v="0"/>
    <x v="3"/>
  </r>
  <r>
    <s v="O1088"/>
    <x v="87"/>
    <x v="87"/>
    <x v="2"/>
    <x v="1"/>
    <x v="0"/>
    <n v="12000"/>
    <x v="2"/>
    <x v="0"/>
    <x v="3"/>
  </r>
  <r>
    <s v="O1089"/>
    <x v="88"/>
    <x v="88"/>
    <x v="4"/>
    <x v="0"/>
    <x v="3"/>
    <n v="1500"/>
    <x v="15"/>
    <x v="1"/>
    <x v="2"/>
  </r>
  <r>
    <s v="O1090"/>
    <x v="89"/>
    <x v="89"/>
    <x v="2"/>
    <x v="1"/>
    <x v="0"/>
    <n v="12000"/>
    <x v="2"/>
    <x v="1"/>
    <x v="1"/>
  </r>
  <r>
    <s v="O1091"/>
    <x v="0"/>
    <x v="90"/>
    <x v="0"/>
    <x v="0"/>
    <x v="0"/>
    <n v="3000"/>
    <x v="0"/>
    <x v="0"/>
    <x v="1"/>
  </r>
  <r>
    <s v="O1092"/>
    <x v="1"/>
    <x v="91"/>
    <x v="2"/>
    <x v="1"/>
    <x v="1"/>
    <n v="12000"/>
    <x v="5"/>
    <x v="2"/>
    <x v="1"/>
  </r>
  <r>
    <s v="O1093"/>
    <x v="2"/>
    <x v="92"/>
    <x v="3"/>
    <x v="1"/>
    <x v="3"/>
    <n v="8000"/>
    <x v="14"/>
    <x v="2"/>
    <x v="3"/>
  </r>
  <r>
    <s v="O1094"/>
    <x v="3"/>
    <x v="93"/>
    <x v="0"/>
    <x v="0"/>
    <x v="0"/>
    <n v="3000"/>
    <x v="0"/>
    <x v="3"/>
    <x v="0"/>
  </r>
  <r>
    <s v="O1095"/>
    <x v="4"/>
    <x v="94"/>
    <x v="2"/>
    <x v="1"/>
    <x v="2"/>
    <n v="12000"/>
    <x v="12"/>
    <x v="1"/>
    <x v="3"/>
  </r>
  <r>
    <s v="O1096"/>
    <x v="5"/>
    <x v="95"/>
    <x v="1"/>
    <x v="1"/>
    <x v="4"/>
    <n v="5000"/>
    <x v="19"/>
    <x v="3"/>
    <x v="1"/>
  </r>
  <r>
    <s v="O1097"/>
    <x v="6"/>
    <x v="96"/>
    <x v="0"/>
    <x v="0"/>
    <x v="1"/>
    <n v="3000"/>
    <x v="10"/>
    <x v="3"/>
    <x v="3"/>
  </r>
  <r>
    <s v="O1098"/>
    <x v="7"/>
    <x v="97"/>
    <x v="1"/>
    <x v="1"/>
    <x v="2"/>
    <n v="5000"/>
    <x v="8"/>
    <x v="2"/>
    <x v="0"/>
  </r>
  <r>
    <s v="O1099"/>
    <x v="8"/>
    <x v="98"/>
    <x v="2"/>
    <x v="1"/>
    <x v="3"/>
    <n v="12000"/>
    <x v="11"/>
    <x v="2"/>
    <x v="3"/>
  </r>
  <r>
    <s v="O1100"/>
    <x v="9"/>
    <x v="99"/>
    <x v="0"/>
    <x v="0"/>
    <x v="1"/>
    <n v="3000"/>
    <x v="10"/>
    <x v="0"/>
    <x v="2"/>
  </r>
  <r>
    <s v="O1101"/>
    <x v="10"/>
    <x v="100"/>
    <x v="2"/>
    <x v="1"/>
    <x v="1"/>
    <n v="12000"/>
    <x v="5"/>
    <x v="1"/>
    <x v="1"/>
  </r>
  <r>
    <s v="O1102"/>
    <x v="11"/>
    <x v="101"/>
    <x v="1"/>
    <x v="1"/>
    <x v="0"/>
    <n v="5000"/>
    <x v="10"/>
    <x v="0"/>
    <x v="3"/>
  </r>
  <r>
    <s v="O1103"/>
    <x v="12"/>
    <x v="102"/>
    <x v="4"/>
    <x v="0"/>
    <x v="2"/>
    <n v="1500"/>
    <x v="6"/>
    <x v="3"/>
    <x v="2"/>
  </r>
  <r>
    <s v="O1104"/>
    <x v="13"/>
    <x v="103"/>
    <x v="4"/>
    <x v="0"/>
    <x v="4"/>
    <n v="1500"/>
    <x v="16"/>
    <x v="1"/>
    <x v="0"/>
  </r>
  <r>
    <s v="O1105"/>
    <x v="14"/>
    <x v="104"/>
    <x v="1"/>
    <x v="1"/>
    <x v="3"/>
    <n v="5000"/>
    <x v="4"/>
    <x v="1"/>
    <x v="2"/>
  </r>
  <r>
    <s v="O1106"/>
    <x v="15"/>
    <x v="105"/>
    <x v="0"/>
    <x v="0"/>
    <x v="2"/>
    <n v="3000"/>
    <x v="15"/>
    <x v="2"/>
    <x v="3"/>
  </r>
  <r>
    <s v="O1107"/>
    <x v="16"/>
    <x v="106"/>
    <x v="0"/>
    <x v="0"/>
    <x v="4"/>
    <n v="3000"/>
    <x v="12"/>
    <x v="0"/>
    <x v="0"/>
  </r>
  <r>
    <s v="O1108"/>
    <x v="17"/>
    <x v="107"/>
    <x v="1"/>
    <x v="1"/>
    <x v="4"/>
    <n v="5000"/>
    <x v="19"/>
    <x v="2"/>
    <x v="2"/>
  </r>
  <r>
    <s v="O1109"/>
    <x v="18"/>
    <x v="108"/>
    <x v="0"/>
    <x v="0"/>
    <x v="4"/>
    <n v="3000"/>
    <x v="12"/>
    <x v="0"/>
    <x v="2"/>
  </r>
  <r>
    <s v="O1110"/>
    <x v="19"/>
    <x v="109"/>
    <x v="3"/>
    <x v="1"/>
    <x v="1"/>
    <n v="8000"/>
    <x v="7"/>
    <x v="3"/>
    <x v="2"/>
  </r>
  <r>
    <s v="O1111"/>
    <x v="20"/>
    <x v="110"/>
    <x v="0"/>
    <x v="0"/>
    <x v="0"/>
    <n v="3000"/>
    <x v="0"/>
    <x v="2"/>
    <x v="1"/>
  </r>
  <r>
    <s v="O1112"/>
    <x v="21"/>
    <x v="111"/>
    <x v="0"/>
    <x v="0"/>
    <x v="4"/>
    <n v="3000"/>
    <x v="12"/>
    <x v="1"/>
    <x v="2"/>
  </r>
  <r>
    <s v="O1113"/>
    <x v="22"/>
    <x v="112"/>
    <x v="0"/>
    <x v="0"/>
    <x v="4"/>
    <n v="3000"/>
    <x v="12"/>
    <x v="0"/>
    <x v="2"/>
  </r>
  <r>
    <s v="O1114"/>
    <x v="23"/>
    <x v="113"/>
    <x v="1"/>
    <x v="1"/>
    <x v="4"/>
    <n v="5000"/>
    <x v="19"/>
    <x v="0"/>
    <x v="2"/>
  </r>
  <r>
    <s v="O1115"/>
    <x v="24"/>
    <x v="114"/>
    <x v="0"/>
    <x v="0"/>
    <x v="2"/>
    <n v="3000"/>
    <x v="15"/>
    <x v="0"/>
    <x v="2"/>
  </r>
  <r>
    <s v="O1116"/>
    <x v="25"/>
    <x v="115"/>
    <x v="3"/>
    <x v="1"/>
    <x v="3"/>
    <n v="8000"/>
    <x v="14"/>
    <x v="1"/>
    <x v="2"/>
  </r>
  <r>
    <s v="O1117"/>
    <x v="26"/>
    <x v="116"/>
    <x v="2"/>
    <x v="1"/>
    <x v="3"/>
    <n v="12000"/>
    <x v="11"/>
    <x v="1"/>
    <x v="2"/>
  </r>
  <r>
    <s v="O1118"/>
    <x v="27"/>
    <x v="117"/>
    <x v="4"/>
    <x v="0"/>
    <x v="2"/>
    <n v="1500"/>
    <x v="6"/>
    <x v="3"/>
    <x v="1"/>
  </r>
  <r>
    <s v="O1119"/>
    <x v="28"/>
    <x v="118"/>
    <x v="4"/>
    <x v="0"/>
    <x v="3"/>
    <n v="1500"/>
    <x v="15"/>
    <x v="1"/>
    <x v="3"/>
  </r>
  <r>
    <s v="O1120"/>
    <x v="29"/>
    <x v="119"/>
    <x v="1"/>
    <x v="1"/>
    <x v="0"/>
    <n v="5000"/>
    <x v="10"/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O1001"/>
    <s v="2025-01-01"/>
    <s v="Customer_1"/>
    <s v="Desk"/>
    <s v="Furniture"/>
    <n v="3"/>
    <n v="3000"/>
    <n v="9000"/>
    <s v="Johannesburg"/>
    <s v="Mary"/>
  </r>
  <r>
    <s v="O1002"/>
    <s v="2025-01-02"/>
    <s v="Customer_2"/>
    <s v="Tablet"/>
    <s v="Electronics"/>
    <n v="5"/>
    <n v="5000"/>
    <n v="25000"/>
    <s v="Cape Town"/>
    <s v="John"/>
  </r>
  <r>
    <s v="O1003"/>
    <s v="2025-01-03"/>
    <s v="Customer_3"/>
    <s v="Laptop"/>
    <s v="Electronics"/>
    <n v="3"/>
    <n v="12000"/>
    <n v="36000"/>
    <s v="Johannesburg"/>
    <s v="David"/>
  </r>
  <r>
    <s v="O1004"/>
    <s v="2025-01-04"/>
    <s v="Customer_4"/>
    <s v="Phone"/>
    <s v="Electronics"/>
    <n v="1"/>
    <n v="8000"/>
    <n v="8000"/>
    <s v="Johannesburg"/>
    <s v="John"/>
  </r>
  <r>
    <s v="O1005"/>
    <s v="2025-01-05"/>
    <s v="Customer_5"/>
    <s v="Tablet"/>
    <s v="Electronics"/>
    <n v="2"/>
    <n v="5000"/>
    <n v="10000"/>
    <s v="Johannesburg"/>
    <s v="David"/>
  </r>
  <r>
    <s v="O1006"/>
    <s v="2025-01-06"/>
    <s v="Customer_6"/>
    <s v="Laptop"/>
    <s v="Electronics"/>
    <n v="5"/>
    <n v="12000"/>
    <n v="60000"/>
    <s v="Durban"/>
    <s v="John"/>
  </r>
  <r>
    <s v="O1007"/>
    <s v="2025-01-07"/>
    <s v="Customer_7"/>
    <s v="Phone"/>
    <s v="Electronics"/>
    <n v="1"/>
    <n v="8000"/>
    <n v="8000"/>
    <s v="Cape Town"/>
    <s v="Sarah"/>
  </r>
  <r>
    <s v="O1008"/>
    <s v="2025-01-08"/>
    <s v="Customer_8"/>
    <s v="Chair"/>
    <s v="Furniture"/>
    <n v="1"/>
    <n v="1500"/>
    <n v="1500"/>
    <s v="Durban"/>
    <s v="John"/>
  </r>
  <r>
    <s v="O1009"/>
    <s v="2025-01-09"/>
    <s v="Customer_9"/>
    <s v="Phone"/>
    <s v="Electronics"/>
    <n v="5"/>
    <n v="8000"/>
    <n v="40000"/>
    <s v="Johannesburg"/>
    <s v="Sarah"/>
  </r>
  <r>
    <s v="O1010"/>
    <s v="2025-01-10"/>
    <s v="Customer_10"/>
    <s v="Tablet"/>
    <s v="Electronics"/>
    <n v="1"/>
    <n v="5000"/>
    <n v="5000"/>
    <s v="Pretoria"/>
    <s v="John"/>
  </r>
  <r>
    <s v="O1011"/>
    <s v="2025-01-11"/>
    <s v="Customer_11"/>
    <s v="Tablet"/>
    <s v="Electronics"/>
    <n v="2"/>
    <n v="5000"/>
    <n v="10000"/>
    <s v="Pretoria"/>
    <s v="David"/>
  </r>
  <r>
    <s v="O1012"/>
    <s v="2025-01-12"/>
    <s v="Customer_12"/>
    <s v="Chair"/>
    <s v="Furniture"/>
    <n v="3"/>
    <n v="1500"/>
    <n v="4500"/>
    <s v="Cape Town"/>
    <s v="David"/>
  </r>
  <r>
    <s v="O1013"/>
    <s v="2025-01-13"/>
    <s v="Customer_13"/>
    <s v="Tablet"/>
    <s v="Electronics"/>
    <n v="3"/>
    <n v="5000"/>
    <n v="15000"/>
    <s v="Cape Town"/>
    <s v="David"/>
  </r>
  <r>
    <s v="O1014"/>
    <s v="2025-01-14"/>
    <s v="Customer_14"/>
    <s v="Laptop"/>
    <s v="Electronics"/>
    <n v="2"/>
    <n v="12000"/>
    <n v="24000"/>
    <s v="Pretoria"/>
    <s v="Mary"/>
  </r>
  <r>
    <s v="O1015"/>
    <s v="2025-01-15"/>
    <s v="Customer_15"/>
    <s v="Desk"/>
    <s v="Furniture"/>
    <n v="3"/>
    <n v="3000"/>
    <n v="9000"/>
    <s v="Pretoria"/>
    <s v="John"/>
  </r>
  <r>
    <s v="O1016"/>
    <s v="2025-01-16"/>
    <s v="Customer_16"/>
    <s v="Desk"/>
    <s v="Furniture"/>
    <n v="4"/>
    <n v="3000"/>
    <n v="12000"/>
    <s v="Durban"/>
    <s v="David"/>
  </r>
  <r>
    <s v="O1017"/>
    <s v="2025-01-17"/>
    <s v="Customer_17"/>
    <s v="Phone"/>
    <s v="Electronics"/>
    <n v="3"/>
    <n v="8000"/>
    <n v="24000"/>
    <s v="Pretoria"/>
    <s v="David"/>
  </r>
  <r>
    <s v="O1018"/>
    <s v="2025-01-18"/>
    <s v="Customer_18"/>
    <s v="Desk"/>
    <s v="Furniture"/>
    <n v="5"/>
    <n v="3000"/>
    <n v="15000"/>
    <s v="Johannesburg"/>
    <s v="Mary"/>
  </r>
  <r>
    <s v="O1019"/>
    <s v="2025-01-19"/>
    <s v="Customer_19"/>
    <s v="Tablet"/>
    <s v="Electronics"/>
    <n v="3"/>
    <n v="5000"/>
    <n v="15000"/>
    <s v="Cape Town"/>
    <s v="John"/>
  </r>
  <r>
    <s v="O1020"/>
    <s v="2025-01-20"/>
    <s v="Customer_20"/>
    <s v="Laptop"/>
    <s v="Electronics"/>
    <n v="3"/>
    <n v="12000"/>
    <n v="36000"/>
    <s v="Johannesburg"/>
    <s v="David"/>
  </r>
  <r>
    <s v="O1021"/>
    <s v="2025-01-21"/>
    <s v="Customer_21"/>
    <s v="Phone"/>
    <s v="Electronics"/>
    <n v="5"/>
    <n v="8000"/>
    <n v="40000"/>
    <s v="Cape Town"/>
    <s v="Mary"/>
  </r>
  <r>
    <s v="O1022"/>
    <s v="2025-01-22"/>
    <s v="Customer_22"/>
    <s v="Tablet"/>
    <s v="Electronics"/>
    <n v="3"/>
    <n v="5000"/>
    <n v="15000"/>
    <s v="Durban"/>
    <s v="John"/>
  </r>
  <r>
    <s v="O1023"/>
    <s v="2025-01-23"/>
    <s v="Customer_23"/>
    <s v="Phone"/>
    <s v="Electronics"/>
    <n v="4"/>
    <n v="8000"/>
    <n v="32000"/>
    <s v="Johannesburg"/>
    <s v="Mary"/>
  </r>
  <r>
    <s v="O1024"/>
    <s v="2025-01-24"/>
    <s v="Customer_24"/>
    <s v="Desk"/>
    <s v="Furniture"/>
    <n v="5"/>
    <n v="3000"/>
    <n v="15000"/>
    <s v="Pretoria"/>
    <s v="Sarah"/>
  </r>
  <r>
    <s v="O1025"/>
    <s v="2025-01-25"/>
    <s v="Customer_25"/>
    <s v="Phone"/>
    <s v="Electronics"/>
    <n v="2"/>
    <n v="8000"/>
    <n v="16000"/>
    <s v="Cape Town"/>
    <s v="Sarah"/>
  </r>
  <r>
    <s v="O1026"/>
    <s v="2025-01-26"/>
    <s v="Customer_26"/>
    <s v="Desk"/>
    <s v="Furniture"/>
    <n v="1"/>
    <n v="3000"/>
    <n v="3000"/>
    <s v="Pretoria"/>
    <s v="John"/>
  </r>
  <r>
    <s v="O1027"/>
    <s v="2025-01-27"/>
    <s v="Customer_27"/>
    <s v="Chair"/>
    <s v="Furniture"/>
    <n v="4"/>
    <n v="1500"/>
    <n v="6000"/>
    <s v="Cape Town"/>
    <s v="David"/>
  </r>
  <r>
    <s v="O1028"/>
    <s v="2025-01-28"/>
    <s v="Customer_28"/>
    <s v="Desk"/>
    <s v="Furniture"/>
    <n v="4"/>
    <n v="3000"/>
    <n v="12000"/>
    <s v="Johannesburg"/>
    <s v="Sarah"/>
  </r>
  <r>
    <s v="O1029"/>
    <s v="2025-01-29"/>
    <s v="Customer_29"/>
    <s v="Chair"/>
    <s v="Furniture"/>
    <n v="5"/>
    <n v="1500"/>
    <n v="7500"/>
    <s v="Johannesburg"/>
    <s v="Sarah"/>
  </r>
  <r>
    <s v="O1030"/>
    <s v="2025-01-30"/>
    <s v="Customer_30"/>
    <s v="Laptop"/>
    <s v="Electronics"/>
    <n v="2"/>
    <n v="12000"/>
    <n v="24000"/>
    <s v="Pretoria"/>
    <s v="David"/>
  </r>
  <r>
    <s v="O1031"/>
    <s v="2025-01-31"/>
    <s v="Customer_31"/>
    <s v="Desk"/>
    <s v="Furniture"/>
    <n v="3"/>
    <n v="3000"/>
    <n v="9000"/>
    <s v="Cape Town"/>
    <s v="Sarah"/>
  </r>
  <r>
    <s v="O1032"/>
    <s v="2025-02-01"/>
    <s v="Customer_32"/>
    <s v="Tablet"/>
    <s v="Electronics"/>
    <n v="3"/>
    <n v="5000"/>
    <n v="15000"/>
    <s v="Cape Town"/>
    <s v="Sarah"/>
  </r>
  <r>
    <s v="O1033"/>
    <s v="2025-02-02"/>
    <s v="Customer_33"/>
    <s v="Desk"/>
    <s v="Furniture"/>
    <n v="1"/>
    <n v="3000"/>
    <n v="3000"/>
    <s v="Johannesburg"/>
    <s v="Mary"/>
  </r>
  <r>
    <s v="O1034"/>
    <s v="2025-02-03"/>
    <s v="Customer_34"/>
    <s v="Desk"/>
    <s v="Furniture"/>
    <n v="1"/>
    <n v="3000"/>
    <n v="3000"/>
    <s v="Durban"/>
    <s v="Sarah"/>
  </r>
  <r>
    <s v="O1035"/>
    <s v="2025-02-04"/>
    <s v="Customer_35"/>
    <s v="Laptop"/>
    <s v="Electronics"/>
    <n v="5"/>
    <n v="12000"/>
    <n v="60000"/>
    <s v="Cape Town"/>
    <s v="John"/>
  </r>
  <r>
    <s v="O1036"/>
    <s v="2025-02-05"/>
    <s v="Customer_36"/>
    <s v="Desk"/>
    <s v="Furniture"/>
    <n v="2"/>
    <n v="3000"/>
    <n v="6000"/>
    <s v="Johannesburg"/>
    <s v="John"/>
  </r>
  <r>
    <s v="O1037"/>
    <s v="2025-02-06"/>
    <s v="Customer_37"/>
    <s v="Tablet"/>
    <s v="Electronics"/>
    <n v="5"/>
    <n v="5000"/>
    <n v="25000"/>
    <s v="Cape Town"/>
    <s v="Sarah"/>
  </r>
  <r>
    <s v="O1038"/>
    <s v="2025-02-07"/>
    <s v="Customer_38"/>
    <s v="Phone"/>
    <s v="Electronics"/>
    <n v="1"/>
    <n v="8000"/>
    <n v="8000"/>
    <s v="Johannesburg"/>
    <s v="David"/>
  </r>
  <r>
    <s v="O1039"/>
    <s v="2025-02-08"/>
    <s v="Customer_39"/>
    <s v="Laptop"/>
    <s v="Electronics"/>
    <n v="3"/>
    <n v="12000"/>
    <n v="36000"/>
    <s v="Johannesburg"/>
    <s v="John"/>
  </r>
  <r>
    <s v="O1040"/>
    <s v="2025-02-09"/>
    <s v="Customer_40"/>
    <s v="Chair"/>
    <s v="Furniture"/>
    <n v="4"/>
    <n v="1500"/>
    <n v="6000"/>
    <s v="Pretoria"/>
    <s v="David"/>
  </r>
  <r>
    <s v="O1041"/>
    <s v="2025-02-10"/>
    <s v="Customer_41"/>
    <s v="Desk"/>
    <s v="Furniture"/>
    <n v="2"/>
    <n v="3000"/>
    <n v="6000"/>
    <s v="Johannesburg"/>
    <s v="David"/>
  </r>
  <r>
    <s v="O1042"/>
    <s v="2025-02-11"/>
    <s v="Customer_42"/>
    <s v="Chair"/>
    <s v="Furniture"/>
    <n v="2"/>
    <n v="1500"/>
    <n v="3000"/>
    <s v="Johannesburg"/>
    <s v="John"/>
  </r>
  <r>
    <s v="O1043"/>
    <s v="2025-02-12"/>
    <s v="Customer_43"/>
    <s v="Desk"/>
    <s v="Furniture"/>
    <n v="2"/>
    <n v="3000"/>
    <n v="6000"/>
    <s v="Johannesburg"/>
    <s v="John"/>
  </r>
  <r>
    <s v="O1044"/>
    <s v="2025-02-13"/>
    <s v="Customer_44"/>
    <s v="Phone"/>
    <s v="Electronics"/>
    <n v="2"/>
    <n v="8000"/>
    <n v="16000"/>
    <s v="Cape Town"/>
    <s v="Mary"/>
  </r>
  <r>
    <s v="O1045"/>
    <s v="2025-02-14"/>
    <s v="Customer_45"/>
    <s v="Laptop"/>
    <s v="Electronics"/>
    <n v="4"/>
    <n v="12000"/>
    <n v="48000"/>
    <s v="Durban"/>
    <s v="David"/>
  </r>
  <r>
    <s v="O1046"/>
    <s v="2025-02-15"/>
    <s v="Customer_46"/>
    <s v="Tablet"/>
    <s v="Electronics"/>
    <n v="5"/>
    <n v="5000"/>
    <n v="25000"/>
    <s v="Johannesburg"/>
    <s v="David"/>
  </r>
  <r>
    <s v="O1047"/>
    <s v="2025-02-16"/>
    <s v="Customer_47"/>
    <s v="Laptop"/>
    <s v="Electronics"/>
    <n v="5"/>
    <n v="12000"/>
    <n v="60000"/>
    <s v="Durban"/>
    <s v="John"/>
  </r>
  <r>
    <s v="O1048"/>
    <s v="2025-02-17"/>
    <s v="Customer_48"/>
    <s v="Tablet"/>
    <s v="Electronics"/>
    <n v="2"/>
    <n v="5000"/>
    <n v="10000"/>
    <s v="Johannesburg"/>
    <s v="Sarah"/>
  </r>
  <r>
    <s v="O1049"/>
    <s v="2025-02-18"/>
    <s v="Customer_49"/>
    <s v="Desk"/>
    <s v="Furniture"/>
    <n v="1"/>
    <n v="3000"/>
    <n v="3000"/>
    <s v="Johannesburg"/>
    <s v="Sarah"/>
  </r>
  <r>
    <s v="O1050"/>
    <s v="2025-02-19"/>
    <s v="Customer_50"/>
    <s v="Laptop"/>
    <s v="Electronics"/>
    <n v="5"/>
    <n v="12000"/>
    <n v="60000"/>
    <s v="Pretoria"/>
    <s v="John"/>
  </r>
  <r>
    <s v="O1051"/>
    <s v="2025-02-20"/>
    <s v="Customer_51"/>
    <s v="Desk"/>
    <s v="Furniture"/>
    <n v="5"/>
    <n v="3000"/>
    <n v="15000"/>
    <s v="Durban"/>
    <s v="Mary"/>
  </r>
  <r>
    <s v="O1052"/>
    <s v="2025-02-21"/>
    <s v="Customer_52"/>
    <s v="Laptop"/>
    <s v="Electronics"/>
    <n v="1"/>
    <n v="12000"/>
    <n v="12000"/>
    <s v="Durban"/>
    <s v="Mary"/>
  </r>
  <r>
    <s v="O1053"/>
    <s v="2025-02-22"/>
    <s v="Customer_53"/>
    <s v="Tablet"/>
    <s v="Electronics"/>
    <n v="1"/>
    <n v="5000"/>
    <n v="5000"/>
    <s v="Durban"/>
    <s v="Sarah"/>
  </r>
  <r>
    <s v="O1054"/>
    <s v="2025-02-23"/>
    <s v="Customer_54"/>
    <s v="Tablet"/>
    <s v="Electronics"/>
    <n v="3"/>
    <n v="5000"/>
    <n v="15000"/>
    <s v="Cape Town"/>
    <s v="John"/>
  </r>
  <r>
    <s v="O1055"/>
    <s v="2025-02-24"/>
    <s v="Customer_55"/>
    <s v="Phone"/>
    <s v="Electronics"/>
    <n v="5"/>
    <n v="8000"/>
    <n v="40000"/>
    <s v="Johannesburg"/>
    <s v="David"/>
  </r>
  <r>
    <s v="O1056"/>
    <s v="2025-02-25"/>
    <s v="Customer_56"/>
    <s v="Laptop"/>
    <s v="Electronics"/>
    <n v="5"/>
    <n v="12000"/>
    <n v="60000"/>
    <s v="Cape Town"/>
    <s v="Mary"/>
  </r>
  <r>
    <s v="O1057"/>
    <s v="2025-02-26"/>
    <s v="Customer_57"/>
    <s v="Tablet"/>
    <s v="Electronics"/>
    <n v="1"/>
    <n v="5000"/>
    <n v="5000"/>
    <s v="Durban"/>
    <s v="Mary"/>
  </r>
  <r>
    <s v="O1058"/>
    <s v="2025-02-27"/>
    <s v="Customer_58"/>
    <s v="Laptop"/>
    <s v="Electronics"/>
    <n v="5"/>
    <n v="12000"/>
    <n v="60000"/>
    <s v="Durban"/>
    <s v="David"/>
  </r>
  <r>
    <s v="O1059"/>
    <s v="2025-02-28"/>
    <s v="Customer_59"/>
    <s v="Desk"/>
    <s v="Furniture"/>
    <n v="5"/>
    <n v="3000"/>
    <n v="15000"/>
    <s v="Durban"/>
    <s v="Sarah"/>
  </r>
  <r>
    <s v="O1060"/>
    <s v="2025-03-01"/>
    <s v="Customer_60"/>
    <s v="Desk"/>
    <s v="Furniture"/>
    <n v="1"/>
    <n v="3000"/>
    <n v="3000"/>
    <s v="Durban"/>
    <s v="David"/>
  </r>
  <r>
    <s v="O1061"/>
    <s v="2025-03-02"/>
    <s v="Customer_61"/>
    <s v="Laptop"/>
    <s v="Electronics"/>
    <n v="4"/>
    <n v="12000"/>
    <n v="48000"/>
    <s v="Cape Town"/>
    <s v="Sarah"/>
  </r>
  <r>
    <s v="O1062"/>
    <s v="2025-03-03"/>
    <s v="Customer_62"/>
    <s v="Tablet"/>
    <s v="Electronics"/>
    <n v="2"/>
    <n v="5000"/>
    <n v="10000"/>
    <s v="Cape Town"/>
    <s v="David"/>
  </r>
  <r>
    <s v="O1063"/>
    <s v="2025-03-04"/>
    <s v="Customer_63"/>
    <s v="Laptop"/>
    <s v="Electronics"/>
    <n v="2"/>
    <n v="12000"/>
    <n v="24000"/>
    <s v="Cape Town"/>
    <s v="Mary"/>
  </r>
  <r>
    <s v="O1064"/>
    <s v="2025-03-05"/>
    <s v="Customer_64"/>
    <s v="Phone"/>
    <s v="Electronics"/>
    <n v="2"/>
    <n v="8000"/>
    <n v="16000"/>
    <s v="Pretoria"/>
    <s v="Mary"/>
  </r>
  <r>
    <s v="O1065"/>
    <s v="2025-03-06"/>
    <s v="Customer_65"/>
    <s v="Chair"/>
    <s v="Furniture"/>
    <n v="1"/>
    <n v="1500"/>
    <n v="1500"/>
    <s v="Pretoria"/>
    <s v="John"/>
  </r>
  <r>
    <s v="O1066"/>
    <s v="2025-03-07"/>
    <s v="Customer_66"/>
    <s v="Phone"/>
    <s v="Electronics"/>
    <n v="5"/>
    <n v="8000"/>
    <n v="40000"/>
    <s v="Cape Town"/>
    <s v="John"/>
  </r>
  <r>
    <s v="O1067"/>
    <s v="2025-03-08"/>
    <s v="Customer_67"/>
    <s v="Phone"/>
    <s v="Electronics"/>
    <n v="1"/>
    <n v="8000"/>
    <n v="8000"/>
    <s v="Pretoria"/>
    <s v="John"/>
  </r>
  <r>
    <s v="O1068"/>
    <s v="2025-03-09"/>
    <s v="Customer_68"/>
    <s v="Phone"/>
    <s v="Electronics"/>
    <n v="2"/>
    <n v="8000"/>
    <n v="16000"/>
    <s v="Durban"/>
    <s v="Mary"/>
  </r>
  <r>
    <s v="O1069"/>
    <s v="2025-03-10"/>
    <s v="Customer_69"/>
    <s v="Laptop"/>
    <s v="Electronics"/>
    <n v="4"/>
    <n v="12000"/>
    <n v="48000"/>
    <s v="Durban"/>
    <s v="Mary"/>
  </r>
  <r>
    <s v="O1070"/>
    <s v="2025-03-11"/>
    <s v="Customer_70"/>
    <s v="Chair"/>
    <s v="Furniture"/>
    <n v="1"/>
    <n v="1500"/>
    <n v="1500"/>
    <s v="Pretoria"/>
    <s v="Mary"/>
  </r>
  <r>
    <s v="O1071"/>
    <s v="2025-03-12"/>
    <s v="Customer_71"/>
    <s v="Tablet"/>
    <s v="Electronics"/>
    <n v="1"/>
    <n v="5000"/>
    <n v="5000"/>
    <s v="Durban"/>
    <s v="David"/>
  </r>
  <r>
    <s v="O1072"/>
    <s v="2025-03-13"/>
    <s v="Customer_72"/>
    <s v="Phone"/>
    <s v="Electronics"/>
    <n v="2"/>
    <n v="8000"/>
    <n v="16000"/>
    <s v="Pretoria"/>
    <s v="John"/>
  </r>
  <r>
    <s v="O1073"/>
    <s v="2025-03-14"/>
    <s v="Customer_73"/>
    <s v="Chair"/>
    <s v="Furniture"/>
    <n v="3"/>
    <n v="1500"/>
    <n v="4500"/>
    <s v="Cape Town"/>
    <s v="Mary"/>
  </r>
  <r>
    <s v="O1074"/>
    <s v="2025-03-15"/>
    <s v="Customer_74"/>
    <s v="Tablet"/>
    <s v="Electronics"/>
    <n v="1"/>
    <n v="5000"/>
    <n v="5000"/>
    <s v="Pretoria"/>
    <s v="John"/>
  </r>
  <r>
    <s v="O1075"/>
    <s v="2025-03-16"/>
    <s v="Customer_75"/>
    <s v="Tablet"/>
    <s v="Electronics"/>
    <n v="5"/>
    <n v="5000"/>
    <n v="25000"/>
    <s v="Cape Town"/>
    <s v="Mary"/>
  </r>
  <r>
    <s v="O1076"/>
    <s v="2025-03-17"/>
    <s v="Customer_76"/>
    <s v="Tablet"/>
    <s v="Electronics"/>
    <n v="1"/>
    <n v="5000"/>
    <n v="5000"/>
    <s v="Durban"/>
    <s v="John"/>
  </r>
  <r>
    <s v="O1077"/>
    <s v="2025-03-18"/>
    <s v="Customer_77"/>
    <s v="Laptop"/>
    <s v="Electronics"/>
    <n v="1"/>
    <n v="12000"/>
    <n v="12000"/>
    <s v="Johannesburg"/>
    <s v="Sarah"/>
  </r>
  <r>
    <s v="O1078"/>
    <s v="2025-03-19"/>
    <s v="Customer_78"/>
    <s v="Phone"/>
    <s v="Electronics"/>
    <n v="1"/>
    <n v="8000"/>
    <n v="8000"/>
    <s v="Johannesburg"/>
    <s v="John"/>
  </r>
  <r>
    <s v="O1079"/>
    <s v="2025-03-20"/>
    <s v="Customer_79"/>
    <s v="Laptop"/>
    <s v="Electronics"/>
    <n v="3"/>
    <n v="12000"/>
    <n v="36000"/>
    <s v="Durban"/>
    <s v="John"/>
  </r>
  <r>
    <s v="O1080"/>
    <s v="2025-03-21"/>
    <s v="Customer_80"/>
    <s v="Chair"/>
    <s v="Furniture"/>
    <n v="1"/>
    <n v="1500"/>
    <n v="1500"/>
    <s v="Cape Town"/>
    <s v="Mary"/>
  </r>
  <r>
    <s v="O1081"/>
    <s v="2025-03-22"/>
    <s v="Customer_81"/>
    <s v="Phone"/>
    <s v="Electronics"/>
    <n v="5"/>
    <n v="8000"/>
    <n v="40000"/>
    <s v="Durban"/>
    <s v="John"/>
  </r>
  <r>
    <s v="O1082"/>
    <s v="2025-03-23"/>
    <s v="Customer_82"/>
    <s v="Phone"/>
    <s v="Electronics"/>
    <n v="3"/>
    <n v="8000"/>
    <n v="24000"/>
    <s v="Johannesburg"/>
    <s v="John"/>
  </r>
  <r>
    <s v="O1083"/>
    <s v="2025-03-24"/>
    <s v="Customer_83"/>
    <s v="Laptop"/>
    <s v="Electronics"/>
    <n v="5"/>
    <n v="12000"/>
    <n v="60000"/>
    <s v="Durban"/>
    <s v="David"/>
  </r>
  <r>
    <s v="O1084"/>
    <s v="2025-03-25"/>
    <s v="Customer_84"/>
    <s v="Phone"/>
    <s v="Electronics"/>
    <n v="1"/>
    <n v="8000"/>
    <n v="8000"/>
    <s v="Johannesburg"/>
    <s v="David"/>
  </r>
  <r>
    <s v="O1085"/>
    <s v="2025-03-26"/>
    <s v="Customer_85"/>
    <s v="Laptop"/>
    <s v="Electronics"/>
    <n v="4"/>
    <n v="12000"/>
    <n v="48000"/>
    <s v="Durban"/>
    <s v="Sarah"/>
  </r>
  <r>
    <s v="O1086"/>
    <s v="2025-03-27"/>
    <s v="Customer_86"/>
    <s v="Tablet"/>
    <s v="Electronics"/>
    <n v="2"/>
    <n v="5000"/>
    <n v="10000"/>
    <s v="Durban"/>
    <s v="John"/>
  </r>
  <r>
    <s v="O1087"/>
    <s v="2025-03-28"/>
    <s v="Customer_87"/>
    <s v="Laptop"/>
    <s v="Electronics"/>
    <n v="3"/>
    <n v="12000"/>
    <n v="36000"/>
    <s v="Johannesburg"/>
    <s v="Sarah"/>
  </r>
  <r>
    <s v="O1088"/>
    <s v="2025-03-29"/>
    <s v="Customer_88"/>
    <s v="Laptop"/>
    <s v="Electronics"/>
    <n v="3"/>
    <n v="12000"/>
    <n v="36000"/>
    <s v="Johannesburg"/>
    <s v="Sarah"/>
  </r>
  <r>
    <s v="O1089"/>
    <s v="2025-03-30"/>
    <s v="Customer_89"/>
    <s v="Chair"/>
    <s v="Furniture"/>
    <n v="2"/>
    <n v="1500"/>
    <n v="3000"/>
    <s v="Cape Town"/>
    <s v="David"/>
  </r>
  <r>
    <s v="O1090"/>
    <s v="2025-03-31"/>
    <s v="Customer_90"/>
    <s v="Laptop"/>
    <s v="Electronics"/>
    <n v="3"/>
    <n v="12000"/>
    <n v="36000"/>
    <s v="Cape Town"/>
    <s v="John"/>
  </r>
  <r>
    <s v="O1091"/>
    <s v="2025-01-01"/>
    <s v="Customer_91"/>
    <s v="Desk"/>
    <s v="Furniture"/>
    <n v="3"/>
    <n v="3000"/>
    <n v="9000"/>
    <s v="Johannesburg"/>
    <s v="John"/>
  </r>
  <r>
    <s v="O1092"/>
    <s v="2025-01-02"/>
    <s v="Customer_92"/>
    <s v="Laptop"/>
    <s v="Electronics"/>
    <n v="5"/>
    <n v="12000"/>
    <n v="60000"/>
    <s v="Durban"/>
    <s v="John"/>
  </r>
  <r>
    <s v="O1093"/>
    <s v="2025-01-03"/>
    <s v="Customer_93"/>
    <s v="Phone"/>
    <s v="Electronics"/>
    <n v="2"/>
    <n v="8000"/>
    <n v="16000"/>
    <s v="Durban"/>
    <s v="Sarah"/>
  </r>
  <r>
    <s v="O1094"/>
    <s v="2025-01-04"/>
    <s v="Customer_94"/>
    <s v="Desk"/>
    <s v="Furniture"/>
    <n v="3"/>
    <n v="3000"/>
    <n v="9000"/>
    <s v="Pretoria"/>
    <s v="Mary"/>
  </r>
  <r>
    <s v="O1095"/>
    <s v="2025-01-05"/>
    <s v="Customer_95"/>
    <s v="Laptop"/>
    <s v="Electronics"/>
    <n v="1"/>
    <n v="12000"/>
    <n v="12000"/>
    <s v="Cape Town"/>
    <s v="Sarah"/>
  </r>
  <r>
    <s v="O1096"/>
    <s v="2025-01-06"/>
    <s v="Customer_96"/>
    <s v="Tablet"/>
    <s v="Electronics"/>
    <n v="4"/>
    <n v="5000"/>
    <n v="20000"/>
    <s v="Pretoria"/>
    <s v="John"/>
  </r>
  <r>
    <s v="O1097"/>
    <s v="2025-01-07"/>
    <s v="Customer_97"/>
    <s v="Desk"/>
    <s v="Furniture"/>
    <n v="5"/>
    <n v="3000"/>
    <n v="15000"/>
    <s v="Pretoria"/>
    <s v="Sarah"/>
  </r>
  <r>
    <s v="O1098"/>
    <s v="2025-01-08"/>
    <s v="Customer_98"/>
    <s v="Tablet"/>
    <s v="Electronics"/>
    <n v="1"/>
    <n v="5000"/>
    <n v="5000"/>
    <s v="Durban"/>
    <s v="Mary"/>
  </r>
  <r>
    <s v="O1099"/>
    <s v="2025-01-09"/>
    <s v="Customer_99"/>
    <s v="Laptop"/>
    <s v="Electronics"/>
    <n v="2"/>
    <n v="12000"/>
    <n v="24000"/>
    <s v="Durban"/>
    <s v="Sarah"/>
  </r>
  <r>
    <s v="O1100"/>
    <s v="2025-01-10"/>
    <s v="Customer_100"/>
    <s v="Desk"/>
    <s v="Furniture"/>
    <n v="5"/>
    <n v="3000"/>
    <n v="15000"/>
    <s v="Johannesburg"/>
    <s v="David"/>
  </r>
  <r>
    <s v="O1101"/>
    <s v="2025-01-11"/>
    <s v="Customer_101"/>
    <s v="Laptop"/>
    <s v="Electronics"/>
    <n v="5"/>
    <n v="12000"/>
    <n v="60000"/>
    <s v="Cape Town"/>
    <s v="John"/>
  </r>
  <r>
    <s v="O1102"/>
    <s v="2025-01-12"/>
    <s v="Customer_102"/>
    <s v="Tablet"/>
    <s v="Electronics"/>
    <n v="3"/>
    <n v="5000"/>
    <n v="15000"/>
    <s v="Johannesburg"/>
    <s v="Sarah"/>
  </r>
  <r>
    <s v="O1103"/>
    <s v="2025-01-13"/>
    <s v="Customer_103"/>
    <s v="Chair"/>
    <s v="Furniture"/>
    <n v="1"/>
    <n v="1500"/>
    <n v="1500"/>
    <s v="Pretoria"/>
    <s v="David"/>
  </r>
  <r>
    <s v="O1104"/>
    <s v="2025-01-14"/>
    <s v="Customer_104"/>
    <s v="Chair"/>
    <s v="Furniture"/>
    <n v="4"/>
    <n v="1500"/>
    <n v="6000"/>
    <s v="Cape Town"/>
    <s v="Mary"/>
  </r>
  <r>
    <s v="O1105"/>
    <s v="2025-01-15"/>
    <s v="Customer_105"/>
    <s v="Tablet"/>
    <s v="Electronics"/>
    <n v="2"/>
    <n v="5000"/>
    <n v="10000"/>
    <s v="Cape Town"/>
    <s v="David"/>
  </r>
  <r>
    <s v="O1106"/>
    <s v="2025-01-16"/>
    <s v="Customer_106"/>
    <s v="Desk"/>
    <s v="Furniture"/>
    <n v="1"/>
    <n v="3000"/>
    <n v="3000"/>
    <s v="Durban"/>
    <s v="Sarah"/>
  </r>
  <r>
    <s v="O1107"/>
    <s v="2025-01-17"/>
    <s v="Customer_107"/>
    <s v="Desk"/>
    <s v="Furniture"/>
    <n v="4"/>
    <n v="3000"/>
    <n v="12000"/>
    <s v="Johannesburg"/>
    <s v="Mary"/>
  </r>
  <r>
    <s v="O1108"/>
    <s v="2025-01-18"/>
    <s v="Customer_108"/>
    <s v="Tablet"/>
    <s v="Electronics"/>
    <n v="4"/>
    <n v="5000"/>
    <n v="20000"/>
    <s v="Durban"/>
    <s v="David"/>
  </r>
  <r>
    <s v="O1109"/>
    <s v="2025-01-19"/>
    <s v="Customer_109"/>
    <s v="Desk"/>
    <s v="Furniture"/>
    <n v="4"/>
    <n v="3000"/>
    <n v="12000"/>
    <s v="Johannesburg"/>
    <s v="David"/>
  </r>
  <r>
    <s v="O1110"/>
    <s v="2025-01-20"/>
    <s v="Customer_110"/>
    <s v="Phone"/>
    <s v="Electronics"/>
    <n v="5"/>
    <n v="8000"/>
    <n v="40000"/>
    <s v="Pretoria"/>
    <s v="David"/>
  </r>
  <r>
    <s v="O1111"/>
    <s v="2025-01-21"/>
    <s v="Customer_111"/>
    <s v="Desk"/>
    <s v="Furniture"/>
    <n v="3"/>
    <n v="3000"/>
    <n v="9000"/>
    <s v="Durban"/>
    <s v="John"/>
  </r>
  <r>
    <s v="O1112"/>
    <s v="2025-01-22"/>
    <s v="Customer_112"/>
    <s v="Desk"/>
    <s v="Furniture"/>
    <n v="4"/>
    <n v="3000"/>
    <n v="12000"/>
    <s v="Cape Town"/>
    <s v="David"/>
  </r>
  <r>
    <s v="O1113"/>
    <s v="2025-01-23"/>
    <s v="Customer_113"/>
    <s v="Desk"/>
    <s v="Furniture"/>
    <n v="4"/>
    <n v="3000"/>
    <n v="12000"/>
    <s v="Johannesburg"/>
    <s v="David"/>
  </r>
  <r>
    <s v="O1114"/>
    <s v="2025-01-24"/>
    <s v="Customer_114"/>
    <s v="Tablet"/>
    <s v="Electronics"/>
    <n v="4"/>
    <n v="5000"/>
    <n v="20000"/>
    <s v="Johannesburg"/>
    <s v="David"/>
  </r>
  <r>
    <s v="O1115"/>
    <s v="2025-01-25"/>
    <s v="Customer_115"/>
    <s v="Desk"/>
    <s v="Furniture"/>
    <n v="1"/>
    <n v="3000"/>
    <n v="3000"/>
    <s v="Johannesburg"/>
    <s v="David"/>
  </r>
  <r>
    <s v="O1116"/>
    <s v="2025-01-26"/>
    <s v="Customer_116"/>
    <s v="Phone"/>
    <s v="Electronics"/>
    <n v="2"/>
    <n v="8000"/>
    <n v="16000"/>
    <s v="Cape Town"/>
    <s v="David"/>
  </r>
  <r>
    <s v="O1117"/>
    <s v="2025-01-27"/>
    <s v="Customer_117"/>
    <s v="Laptop"/>
    <s v="Electronics"/>
    <n v="2"/>
    <n v="12000"/>
    <n v="24000"/>
    <s v="Cape Town"/>
    <s v="David"/>
  </r>
  <r>
    <s v="O1118"/>
    <s v="2025-01-28"/>
    <s v="Customer_118"/>
    <s v="Chair"/>
    <s v="Furniture"/>
    <n v="1"/>
    <n v="1500"/>
    <n v="1500"/>
    <s v="Pretoria"/>
    <s v="John"/>
  </r>
  <r>
    <s v="O1119"/>
    <s v="2025-01-29"/>
    <s v="Customer_119"/>
    <s v="Chair"/>
    <s v="Furniture"/>
    <n v="2"/>
    <n v="1500"/>
    <n v="3000"/>
    <s v="Cape Town"/>
    <s v="Sarah"/>
  </r>
  <r>
    <s v="O1120"/>
    <s v="2025-01-30"/>
    <s v="Customer_120"/>
    <s v="Tablet"/>
    <s v="Electronics"/>
    <n v="3"/>
    <n v="5000"/>
    <n v="15000"/>
    <s v="Pretoria"/>
    <s v="John"/>
  </r>
  <r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FDE8F-DDB8-4DE6-89C4-4323F40EB1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9" firstHeaderRow="1" firstDataRow="1" firstDataCol="1"/>
  <pivotFields count="10">
    <pivotField showAll="0"/>
    <pivotField multipleItemSelectionAllowed="1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12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 sortType="ascending">
      <items count="6">
        <item x="4"/>
        <item x="0"/>
        <item x="2"/>
        <item x="3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6">
        <item x="2"/>
        <item x="3"/>
        <item x="0"/>
        <item x="4"/>
        <item x="1"/>
        <item t="default"/>
      </items>
    </pivotField>
    <pivotField dataField="1" showAll="0"/>
    <pivotField showAll="0">
      <items count="21">
        <item x="6"/>
        <item x="15"/>
        <item x="9"/>
        <item x="8"/>
        <item x="16"/>
        <item x="17"/>
        <item x="3"/>
        <item x="0"/>
        <item x="4"/>
        <item x="12"/>
        <item x="10"/>
        <item x="14"/>
        <item x="19"/>
        <item x="11"/>
        <item x="1"/>
        <item x="13"/>
        <item x="2"/>
        <item x="7"/>
        <item x="18"/>
        <item x="5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5">
        <item x="2"/>
        <item x="1"/>
        <item x="0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_Price" fld="6" baseField="0" baseItem="0"/>
  </dataFields>
  <formats count="1"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21ABC-D328-40C9-A48E-DCF037BBCDF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435A0D-EB79-4866-968E-EA9045ABF525}" name="Table6" displayName="Table6" ref="A1:J121" totalsRowShown="0">
  <autoFilter ref="A1:J121" xr:uid="{C2435A0D-EB79-4866-968E-EA9045ABF525}"/>
  <tableColumns count="10">
    <tableColumn id="1" xr3:uid="{CA4741D2-6987-4A9A-9249-FE14F7BC4273}" name="Order_ID"/>
    <tableColumn id="2" xr3:uid="{DDC5683A-9DEC-4A8B-A2B8-4DDB22ECB657}" name="Date"/>
    <tableColumn id="3" xr3:uid="{006ED22E-E9C0-4C88-8582-3E5BFB56487E}" name="Customer"/>
    <tableColumn id="4" xr3:uid="{213D2B55-EC53-4C43-9049-52D13C8FB1F0}" name="Product"/>
    <tableColumn id="5" xr3:uid="{3A6459DA-199D-4343-AB3D-DCBFB2DCFA4A}" name="Category"/>
    <tableColumn id="6" xr3:uid="{DCFA9BF6-8A48-4536-8BA9-CBB400F6857A}" name="Units"/>
    <tableColumn id="7" xr3:uid="{9998D117-87AD-4AE0-B6C2-95F5E3307DD1}" name="Unit_Price"/>
    <tableColumn id="8" xr3:uid="{3B5E4576-1616-479A-AF76-01009EB77DB8}" name="Revenue"/>
    <tableColumn id="9" xr3:uid="{642E8839-9B9A-4962-A41F-A621C2A132D3}" name="City"/>
    <tableColumn id="10" xr3:uid="{D01E8934-1225-481A-A977-F71B80C9813A}" name="Salesper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D7F7B-B730-4AF9-B3F9-FC4DF095A669}" name="Table1" displayName="Table1" ref="A1:J121" totalsRowShown="0" headerRowDxfId="31">
  <autoFilter ref="A1:J121" xr:uid="{FA3D7F7B-B730-4AF9-B3F9-FC4DF095A669}"/>
  <tableColumns count="10">
    <tableColumn id="1" xr3:uid="{50BC7EB1-1745-4CD9-9110-93E47B6BC167}" name="Order_ID"/>
    <tableColumn id="2" xr3:uid="{4D77B966-1D6C-4FC7-9D90-3F04C0BF42DC}" name="Date"/>
    <tableColumn id="3" xr3:uid="{6F961886-4C61-48A0-9DF0-986311B90795}" name="Customer"/>
    <tableColumn id="4" xr3:uid="{591DCA43-2110-4576-B843-0DEC82479CDD}" name="Product"/>
    <tableColumn id="5" xr3:uid="{D8D45E59-9702-46C1-95AE-0BEB3B1EDA62}" name="Category"/>
    <tableColumn id="6" xr3:uid="{DE1F4B96-B9DF-4EAD-967C-BD9C51C5C11C}" name="Units"/>
    <tableColumn id="7" xr3:uid="{C0EA609E-39DB-4896-89C1-0BBD0B652962}" name="Unit_Price"/>
    <tableColumn id="8" xr3:uid="{CA152C34-607D-48D6-8D75-B5324F27CE77}" name="Revenue"/>
    <tableColumn id="9" xr3:uid="{628BA3C4-80FE-4E1F-AA63-9FDB1044F9BA}" name="City"/>
    <tableColumn id="10" xr3:uid="{F3CE4732-6879-40DC-BAF8-712F75057B46}" name="Salesper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AAF1F7-8F0A-4397-A057-692A4D97FABB}" name="Table5" displayName="Table5" ref="M14:N22" totalsRowShown="0">
  <autoFilter ref="M14:N22" xr:uid="{A7AAF1F7-8F0A-4397-A057-692A4D97FABB}"/>
  <tableColumns count="2">
    <tableColumn id="1" xr3:uid="{382F0435-5D18-4AA9-9AC1-660596BE6674}" name="KPIs"/>
    <tableColumn id="2" xr3:uid="{2C7DF7D9-6D31-40D5-AD84-B38F491237CB}" name="Total" dataDxfId="30">
      <calculatedColumnFormula>SUMIF(D1:D120,"Phone",H1:H120)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156F-5EAE-4CB9-B4F3-B914DF03B362}">
  <sheetPr codeName="Sheet4"/>
  <dimension ref="A1:J121"/>
  <sheetViews>
    <sheetView workbookViewId="0">
      <selection activeCell="O6" sqref="O6"/>
    </sheetView>
  </sheetViews>
  <sheetFormatPr defaultRowHeight="15" x14ac:dyDescent="0.25"/>
  <cols>
    <col min="1" max="1" width="11.140625" customWidth="1"/>
    <col min="3" max="3" width="11.7109375" customWidth="1"/>
    <col min="4" max="4" width="10" customWidth="1"/>
    <col min="5" max="5" width="11" customWidth="1"/>
    <col min="7" max="7" width="12.42578125" customWidth="1"/>
    <col min="8" max="8" width="11" customWidth="1"/>
    <col min="10" max="10" width="13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14</v>
      </c>
      <c r="F2">
        <v>1</v>
      </c>
      <c r="G2">
        <v>1500</v>
      </c>
      <c r="H2">
        <v>1500</v>
      </c>
      <c r="I2" t="s">
        <v>39</v>
      </c>
      <c r="J2" t="s">
        <v>23</v>
      </c>
    </row>
    <row r="3" spans="1:10" x14ac:dyDescent="0.25">
      <c r="A3" t="s">
        <v>58</v>
      </c>
      <c r="B3" t="s">
        <v>59</v>
      </c>
      <c r="C3" t="s">
        <v>60</v>
      </c>
      <c r="D3" t="s">
        <v>47</v>
      </c>
      <c r="E3" t="s">
        <v>14</v>
      </c>
      <c r="F3">
        <v>3</v>
      </c>
      <c r="G3">
        <v>1500</v>
      </c>
      <c r="H3">
        <v>4500</v>
      </c>
      <c r="I3" t="s">
        <v>22</v>
      </c>
      <c r="J3" t="s">
        <v>28</v>
      </c>
    </row>
    <row r="4" spans="1:10" x14ac:dyDescent="0.25">
      <c r="A4" t="s">
        <v>103</v>
      </c>
      <c r="B4" t="s">
        <v>104</v>
      </c>
      <c r="C4" t="s">
        <v>105</v>
      </c>
      <c r="D4" t="s">
        <v>47</v>
      </c>
      <c r="E4" t="s">
        <v>14</v>
      </c>
      <c r="F4">
        <v>4</v>
      </c>
      <c r="G4">
        <v>1500</v>
      </c>
      <c r="H4">
        <v>6000</v>
      </c>
      <c r="I4" t="s">
        <v>22</v>
      </c>
      <c r="J4" t="s">
        <v>28</v>
      </c>
    </row>
    <row r="5" spans="1:10" x14ac:dyDescent="0.25">
      <c r="A5" t="s">
        <v>109</v>
      </c>
      <c r="B5" t="s">
        <v>110</v>
      </c>
      <c r="C5" t="s">
        <v>111</v>
      </c>
      <c r="D5" t="s">
        <v>47</v>
      </c>
      <c r="E5" t="s">
        <v>14</v>
      </c>
      <c r="F5">
        <v>5</v>
      </c>
      <c r="G5">
        <v>1500</v>
      </c>
      <c r="H5">
        <v>7500</v>
      </c>
      <c r="I5" t="s">
        <v>15</v>
      </c>
      <c r="J5" t="s">
        <v>43</v>
      </c>
    </row>
    <row r="6" spans="1:10" x14ac:dyDescent="0.25">
      <c r="A6" t="s">
        <v>142</v>
      </c>
      <c r="B6" t="s">
        <v>143</v>
      </c>
      <c r="C6" t="s">
        <v>144</v>
      </c>
      <c r="D6" t="s">
        <v>47</v>
      </c>
      <c r="E6" t="s">
        <v>14</v>
      </c>
      <c r="F6">
        <v>4</v>
      </c>
      <c r="G6">
        <v>1500</v>
      </c>
      <c r="H6">
        <v>6000</v>
      </c>
      <c r="I6" t="s">
        <v>54</v>
      </c>
      <c r="J6" t="s">
        <v>28</v>
      </c>
    </row>
    <row r="7" spans="1:10" x14ac:dyDescent="0.25">
      <c r="A7" t="s">
        <v>148</v>
      </c>
      <c r="B7" t="s">
        <v>149</v>
      </c>
      <c r="C7" t="s">
        <v>150</v>
      </c>
      <c r="D7" t="s">
        <v>47</v>
      </c>
      <c r="E7" t="s">
        <v>14</v>
      </c>
      <c r="F7">
        <v>2</v>
      </c>
      <c r="G7">
        <v>1500</v>
      </c>
      <c r="H7">
        <v>3000</v>
      </c>
      <c r="I7" t="s">
        <v>15</v>
      </c>
      <c r="J7" t="s">
        <v>23</v>
      </c>
    </row>
    <row r="8" spans="1:10" x14ac:dyDescent="0.25">
      <c r="A8" t="s">
        <v>217</v>
      </c>
      <c r="B8" t="s">
        <v>218</v>
      </c>
      <c r="C8" t="s">
        <v>219</v>
      </c>
      <c r="D8" t="s">
        <v>47</v>
      </c>
      <c r="E8" t="s">
        <v>14</v>
      </c>
      <c r="F8">
        <v>1</v>
      </c>
      <c r="G8">
        <v>1500</v>
      </c>
      <c r="H8">
        <v>1500</v>
      </c>
      <c r="I8" t="s">
        <v>54</v>
      </c>
      <c r="J8" t="s">
        <v>23</v>
      </c>
    </row>
    <row r="9" spans="1:10" x14ac:dyDescent="0.25">
      <c r="A9" t="s">
        <v>232</v>
      </c>
      <c r="B9" t="s">
        <v>233</v>
      </c>
      <c r="C9" t="s">
        <v>234</v>
      </c>
      <c r="D9" t="s">
        <v>47</v>
      </c>
      <c r="E9" t="s">
        <v>14</v>
      </c>
      <c r="F9">
        <v>1</v>
      </c>
      <c r="G9">
        <v>1500</v>
      </c>
      <c r="H9">
        <v>1500</v>
      </c>
      <c r="I9" t="s">
        <v>54</v>
      </c>
      <c r="J9" t="s">
        <v>16</v>
      </c>
    </row>
    <row r="10" spans="1:10" x14ac:dyDescent="0.25">
      <c r="A10" t="s">
        <v>241</v>
      </c>
      <c r="B10" t="s">
        <v>242</v>
      </c>
      <c r="C10" t="s">
        <v>243</v>
      </c>
      <c r="D10" t="s">
        <v>47</v>
      </c>
      <c r="E10" t="s">
        <v>14</v>
      </c>
      <c r="F10">
        <v>3</v>
      </c>
      <c r="G10">
        <v>1500</v>
      </c>
      <c r="H10">
        <v>4500</v>
      </c>
      <c r="I10" t="s">
        <v>22</v>
      </c>
      <c r="J10" t="s">
        <v>16</v>
      </c>
    </row>
    <row r="11" spans="1:10" x14ac:dyDescent="0.25">
      <c r="A11" t="s">
        <v>262</v>
      </c>
      <c r="B11" t="s">
        <v>263</v>
      </c>
      <c r="C11" t="s">
        <v>264</v>
      </c>
      <c r="D11" t="s">
        <v>47</v>
      </c>
      <c r="E11" t="s">
        <v>14</v>
      </c>
      <c r="F11">
        <v>1</v>
      </c>
      <c r="G11">
        <v>1500</v>
      </c>
      <c r="H11">
        <v>1500</v>
      </c>
      <c r="I11" t="s">
        <v>22</v>
      </c>
      <c r="J11" t="s">
        <v>16</v>
      </c>
    </row>
    <row r="12" spans="1:10" x14ac:dyDescent="0.25">
      <c r="A12" t="s">
        <v>289</v>
      </c>
      <c r="B12" t="s">
        <v>290</v>
      </c>
      <c r="C12" t="s">
        <v>291</v>
      </c>
      <c r="D12" t="s">
        <v>47</v>
      </c>
      <c r="E12" t="s">
        <v>14</v>
      </c>
      <c r="F12">
        <v>2</v>
      </c>
      <c r="G12">
        <v>1500</v>
      </c>
      <c r="H12">
        <v>3000</v>
      </c>
      <c r="I12" t="s">
        <v>22</v>
      </c>
      <c r="J12" t="s">
        <v>28</v>
      </c>
    </row>
    <row r="13" spans="1:10" x14ac:dyDescent="0.25">
      <c r="A13" t="s">
        <v>319</v>
      </c>
      <c r="B13" t="s">
        <v>62</v>
      </c>
      <c r="C13" t="s">
        <v>320</v>
      </c>
      <c r="D13" t="s">
        <v>47</v>
      </c>
      <c r="E13" t="s">
        <v>14</v>
      </c>
      <c r="F13">
        <v>1</v>
      </c>
      <c r="G13">
        <v>1500</v>
      </c>
      <c r="H13">
        <v>1500</v>
      </c>
      <c r="I13" t="s">
        <v>54</v>
      </c>
      <c r="J13" t="s">
        <v>28</v>
      </c>
    </row>
    <row r="14" spans="1:10" x14ac:dyDescent="0.25">
      <c r="A14" t="s">
        <v>321</v>
      </c>
      <c r="B14" t="s">
        <v>65</v>
      </c>
      <c r="C14" t="s">
        <v>322</v>
      </c>
      <c r="D14" t="s">
        <v>47</v>
      </c>
      <c r="E14" t="s">
        <v>14</v>
      </c>
      <c r="F14">
        <v>4</v>
      </c>
      <c r="G14">
        <v>1500</v>
      </c>
      <c r="H14">
        <v>6000</v>
      </c>
      <c r="I14" t="s">
        <v>22</v>
      </c>
      <c r="J14" t="s">
        <v>16</v>
      </c>
    </row>
    <row r="15" spans="1:10" x14ac:dyDescent="0.25">
      <c r="A15" t="s">
        <v>349</v>
      </c>
      <c r="B15" t="s">
        <v>107</v>
      </c>
      <c r="C15" t="s">
        <v>350</v>
      </c>
      <c r="D15" t="s">
        <v>47</v>
      </c>
      <c r="E15" t="s">
        <v>14</v>
      </c>
      <c r="F15">
        <v>1</v>
      </c>
      <c r="G15">
        <v>1500</v>
      </c>
      <c r="H15">
        <v>1500</v>
      </c>
      <c r="I15" t="s">
        <v>54</v>
      </c>
      <c r="J15" t="s">
        <v>23</v>
      </c>
    </row>
    <row r="16" spans="1:10" x14ac:dyDescent="0.25">
      <c r="A16" t="s">
        <v>351</v>
      </c>
      <c r="B16" t="s">
        <v>110</v>
      </c>
      <c r="C16" t="s">
        <v>352</v>
      </c>
      <c r="D16" t="s">
        <v>47</v>
      </c>
      <c r="E16" t="s">
        <v>14</v>
      </c>
      <c r="F16">
        <v>2</v>
      </c>
      <c r="G16">
        <v>1500</v>
      </c>
      <c r="H16">
        <v>3000</v>
      </c>
      <c r="I16" t="s">
        <v>22</v>
      </c>
      <c r="J16" t="s">
        <v>43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>
        <v>3</v>
      </c>
      <c r="G17">
        <v>3000</v>
      </c>
      <c r="H17">
        <v>9000</v>
      </c>
      <c r="I17" t="s">
        <v>15</v>
      </c>
      <c r="J17" t="s">
        <v>16</v>
      </c>
    </row>
    <row r="18" spans="1:10" x14ac:dyDescent="0.25">
      <c r="A18" t="s">
        <v>67</v>
      </c>
      <c r="B18" t="s">
        <v>68</v>
      </c>
      <c r="C18" t="s">
        <v>69</v>
      </c>
      <c r="D18" t="s">
        <v>13</v>
      </c>
      <c r="E18" t="s">
        <v>14</v>
      </c>
      <c r="F18">
        <v>3</v>
      </c>
      <c r="G18">
        <v>3000</v>
      </c>
      <c r="H18">
        <v>9000</v>
      </c>
      <c r="I18" t="s">
        <v>54</v>
      </c>
      <c r="J18" t="s">
        <v>23</v>
      </c>
    </row>
    <row r="19" spans="1:10" x14ac:dyDescent="0.25">
      <c r="A19" t="s">
        <v>70</v>
      </c>
      <c r="B19" t="s">
        <v>71</v>
      </c>
      <c r="C19" t="s">
        <v>72</v>
      </c>
      <c r="D19" t="s">
        <v>13</v>
      </c>
      <c r="E19" t="s">
        <v>14</v>
      </c>
      <c r="F19">
        <v>4</v>
      </c>
      <c r="G19">
        <v>3000</v>
      </c>
      <c r="H19">
        <v>12000</v>
      </c>
      <c r="I19" t="s">
        <v>39</v>
      </c>
      <c r="J19" t="s">
        <v>28</v>
      </c>
    </row>
    <row r="20" spans="1:10" x14ac:dyDescent="0.25">
      <c r="A20" t="s">
        <v>76</v>
      </c>
      <c r="B20" t="s">
        <v>77</v>
      </c>
      <c r="C20" t="s">
        <v>78</v>
      </c>
      <c r="D20" t="s">
        <v>13</v>
      </c>
      <c r="E20" t="s">
        <v>14</v>
      </c>
      <c r="F20">
        <v>5</v>
      </c>
      <c r="G20">
        <v>3000</v>
      </c>
      <c r="H20">
        <v>15000</v>
      </c>
      <c r="I20" t="s">
        <v>15</v>
      </c>
      <c r="J20" t="s">
        <v>16</v>
      </c>
    </row>
    <row r="21" spans="1:10" x14ac:dyDescent="0.25">
      <c r="A21" t="s">
        <v>94</v>
      </c>
      <c r="B21" t="s">
        <v>95</v>
      </c>
      <c r="C21" t="s">
        <v>96</v>
      </c>
      <c r="D21" t="s">
        <v>13</v>
      </c>
      <c r="E21" t="s">
        <v>14</v>
      </c>
      <c r="F21">
        <v>5</v>
      </c>
      <c r="G21">
        <v>3000</v>
      </c>
      <c r="H21">
        <v>15000</v>
      </c>
      <c r="I21" t="s">
        <v>54</v>
      </c>
      <c r="J21" t="s">
        <v>43</v>
      </c>
    </row>
    <row r="22" spans="1:10" x14ac:dyDescent="0.25">
      <c r="A22" t="s">
        <v>100</v>
      </c>
      <c r="B22" t="s">
        <v>101</v>
      </c>
      <c r="C22" t="s">
        <v>102</v>
      </c>
      <c r="D22" t="s">
        <v>13</v>
      </c>
      <c r="E22" t="s">
        <v>14</v>
      </c>
      <c r="F22">
        <v>1</v>
      </c>
      <c r="G22">
        <v>3000</v>
      </c>
      <c r="H22">
        <v>3000</v>
      </c>
      <c r="I22" t="s">
        <v>54</v>
      </c>
      <c r="J22" t="s">
        <v>23</v>
      </c>
    </row>
    <row r="23" spans="1:10" x14ac:dyDescent="0.25">
      <c r="A23" t="s">
        <v>106</v>
      </c>
      <c r="B23" t="s">
        <v>107</v>
      </c>
      <c r="C23" t="s">
        <v>108</v>
      </c>
      <c r="D23" t="s">
        <v>13</v>
      </c>
      <c r="E23" t="s">
        <v>14</v>
      </c>
      <c r="F23">
        <v>4</v>
      </c>
      <c r="G23">
        <v>3000</v>
      </c>
      <c r="H23">
        <v>12000</v>
      </c>
      <c r="I23" t="s">
        <v>15</v>
      </c>
      <c r="J23" t="s">
        <v>43</v>
      </c>
    </row>
    <row r="24" spans="1:10" x14ac:dyDescent="0.25">
      <c r="A24" t="s">
        <v>115</v>
      </c>
      <c r="B24" t="s">
        <v>116</v>
      </c>
      <c r="C24" t="s">
        <v>117</v>
      </c>
      <c r="D24" t="s">
        <v>13</v>
      </c>
      <c r="E24" t="s">
        <v>14</v>
      </c>
      <c r="F24">
        <v>3</v>
      </c>
      <c r="G24">
        <v>3000</v>
      </c>
      <c r="H24">
        <v>9000</v>
      </c>
      <c r="I24" t="s">
        <v>22</v>
      </c>
      <c r="J24" t="s">
        <v>43</v>
      </c>
    </row>
    <row r="25" spans="1:10" x14ac:dyDescent="0.25">
      <c r="A25" t="s">
        <v>121</v>
      </c>
      <c r="B25" t="s">
        <v>122</v>
      </c>
      <c r="C25" t="s">
        <v>123</v>
      </c>
      <c r="D25" t="s">
        <v>13</v>
      </c>
      <c r="E25" t="s">
        <v>14</v>
      </c>
      <c r="F25">
        <v>1</v>
      </c>
      <c r="G25">
        <v>3000</v>
      </c>
      <c r="H25">
        <v>3000</v>
      </c>
      <c r="I25" t="s">
        <v>15</v>
      </c>
      <c r="J25" t="s">
        <v>16</v>
      </c>
    </row>
    <row r="26" spans="1:10" x14ac:dyDescent="0.25">
      <c r="A26" t="s">
        <v>124</v>
      </c>
      <c r="B26" t="s">
        <v>125</v>
      </c>
      <c r="C26" t="s">
        <v>126</v>
      </c>
      <c r="D26" t="s">
        <v>13</v>
      </c>
      <c r="E26" t="s">
        <v>14</v>
      </c>
      <c r="F26">
        <v>1</v>
      </c>
      <c r="G26">
        <v>3000</v>
      </c>
      <c r="H26">
        <v>3000</v>
      </c>
      <c r="I26" t="s">
        <v>39</v>
      </c>
      <c r="J26" t="s">
        <v>43</v>
      </c>
    </row>
    <row r="27" spans="1:10" x14ac:dyDescent="0.25">
      <c r="A27" t="s">
        <v>130</v>
      </c>
      <c r="B27" t="s">
        <v>131</v>
      </c>
      <c r="C27" t="s">
        <v>132</v>
      </c>
      <c r="D27" t="s">
        <v>13</v>
      </c>
      <c r="E27" t="s">
        <v>14</v>
      </c>
      <c r="F27">
        <v>2</v>
      </c>
      <c r="G27">
        <v>3000</v>
      </c>
      <c r="H27">
        <v>6000</v>
      </c>
      <c r="I27" t="s">
        <v>15</v>
      </c>
      <c r="J27" t="s">
        <v>23</v>
      </c>
    </row>
    <row r="28" spans="1:10" x14ac:dyDescent="0.25">
      <c r="A28" t="s">
        <v>145</v>
      </c>
      <c r="B28" t="s">
        <v>146</v>
      </c>
      <c r="C28" t="s">
        <v>147</v>
      </c>
      <c r="D28" t="s">
        <v>13</v>
      </c>
      <c r="E28" t="s">
        <v>14</v>
      </c>
      <c r="F28">
        <v>2</v>
      </c>
      <c r="G28">
        <v>3000</v>
      </c>
      <c r="H28">
        <v>6000</v>
      </c>
      <c r="I28" t="s">
        <v>15</v>
      </c>
      <c r="J28" t="s">
        <v>28</v>
      </c>
    </row>
    <row r="29" spans="1:10" x14ac:dyDescent="0.25">
      <c r="A29" t="s">
        <v>151</v>
      </c>
      <c r="B29" t="s">
        <v>152</v>
      </c>
      <c r="C29" t="s">
        <v>153</v>
      </c>
      <c r="D29" t="s">
        <v>13</v>
      </c>
      <c r="E29" t="s">
        <v>14</v>
      </c>
      <c r="F29">
        <v>2</v>
      </c>
      <c r="G29">
        <v>3000</v>
      </c>
      <c r="H29">
        <v>6000</v>
      </c>
      <c r="I29" t="s">
        <v>15</v>
      </c>
      <c r="J29" t="s">
        <v>23</v>
      </c>
    </row>
    <row r="30" spans="1:10" x14ac:dyDescent="0.25">
      <c r="A30" t="s">
        <v>169</v>
      </c>
      <c r="B30" t="s">
        <v>170</v>
      </c>
      <c r="C30" t="s">
        <v>171</v>
      </c>
      <c r="D30" t="s">
        <v>13</v>
      </c>
      <c r="E30" t="s">
        <v>14</v>
      </c>
      <c r="F30">
        <v>1</v>
      </c>
      <c r="G30">
        <v>3000</v>
      </c>
      <c r="H30">
        <v>3000</v>
      </c>
      <c r="I30" t="s">
        <v>15</v>
      </c>
      <c r="J30" t="s">
        <v>43</v>
      </c>
    </row>
    <row r="31" spans="1:10" x14ac:dyDescent="0.25">
      <c r="A31" t="s">
        <v>175</v>
      </c>
      <c r="B31" t="s">
        <v>176</v>
      </c>
      <c r="C31" t="s">
        <v>177</v>
      </c>
      <c r="D31" t="s">
        <v>13</v>
      </c>
      <c r="E31" t="s">
        <v>14</v>
      </c>
      <c r="F31">
        <v>5</v>
      </c>
      <c r="G31">
        <v>3000</v>
      </c>
      <c r="H31">
        <v>15000</v>
      </c>
      <c r="I31" t="s">
        <v>39</v>
      </c>
      <c r="J31" t="s">
        <v>16</v>
      </c>
    </row>
    <row r="32" spans="1:10" x14ac:dyDescent="0.25">
      <c r="A32" t="s">
        <v>199</v>
      </c>
      <c r="B32" t="s">
        <v>200</v>
      </c>
      <c r="C32" t="s">
        <v>201</v>
      </c>
      <c r="D32" t="s">
        <v>13</v>
      </c>
      <c r="E32" t="s">
        <v>14</v>
      </c>
      <c r="F32">
        <v>5</v>
      </c>
      <c r="G32">
        <v>3000</v>
      </c>
      <c r="H32">
        <v>15000</v>
      </c>
      <c r="I32" t="s">
        <v>39</v>
      </c>
      <c r="J32" t="s">
        <v>43</v>
      </c>
    </row>
    <row r="33" spans="1:10" x14ac:dyDescent="0.25">
      <c r="A33" t="s">
        <v>202</v>
      </c>
      <c r="B33" t="s">
        <v>203</v>
      </c>
      <c r="C33" t="s">
        <v>204</v>
      </c>
      <c r="D33" t="s">
        <v>13</v>
      </c>
      <c r="E33" t="s">
        <v>14</v>
      </c>
      <c r="F33">
        <v>1</v>
      </c>
      <c r="G33">
        <v>3000</v>
      </c>
      <c r="H33">
        <v>3000</v>
      </c>
      <c r="I33" t="s">
        <v>39</v>
      </c>
      <c r="J33" t="s">
        <v>28</v>
      </c>
    </row>
    <row r="34" spans="1:10" x14ac:dyDescent="0.25">
      <c r="A34" t="s">
        <v>295</v>
      </c>
      <c r="B34" t="s">
        <v>11</v>
      </c>
      <c r="C34" t="s">
        <v>296</v>
      </c>
      <c r="D34" t="s">
        <v>13</v>
      </c>
      <c r="E34" t="s">
        <v>14</v>
      </c>
      <c r="F34">
        <v>3</v>
      </c>
      <c r="G34">
        <v>3000</v>
      </c>
      <c r="H34">
        <v>9000</v>
      </c>
      <c r="I34" t="s">
        <v>15</v>
      </c>
      <c r="J34" t="s">
        <v>23</v>
      </c>
    </row>
    <row r="35" spans="1:10" x14ac:dyDescent="0.25">
      <c r="A35" t="s">
        <v>301</v>
      </c>
      <c r="B35" t="s">
        <v>30</v>
      </c>
      <c r="C35" t="s">
        <v>302</v>
      </c>
      <c r="D35" t="s">
        <v>13</v>
      </c>
      <c r="E35" t="s">
        <v>14</v>
      </c>
      <c r="F35">
        <v>3</v>
      </c>
      <c r="G35">
        <v>3000</v>
      </c>
      <c r="H35">
        <v>9000</v>
      </c>
      <c r="I35" t="s">
        <v>54</v>
      </c>
      <c r="J35" t="s">
        <v>16</v>
      </c>
    </row>
    <row r="36" spans="1:10" x14ac:dyDescent="0.25">
      <c r="A36" t="s">
        <v>307</v>
      </c>
      <c r="B36" t="s">
        <v>41</v>
      </c>
      <c r="C36" t="s">
        <v>308</v>
      </c>
      <c r="D36" t="s">
        <v>13</v>
      </c>
      <c r="E36" t="s">
        <v>14</v>
      </c>
      <c r="F36">
        <v>5</v>
      </c>
      <c r="G36">
        <v>3000</v>
      </c>
      <c r="H36">
        <v>15000</v>
      </c>
      <c r="I36" t="s">
        <v>54</v>
      </c>
      <c r="J36" t="s">
        <v>43</v>
      </c>
    </row>
    <row r="37" spans="1:10" x14ac:dyDescent="0.25">
      <c r="A37" t="s">
        <v>313</v>
      </c>
      <c r="B37" t="s">
        <v>52</v>
      </c>
      <c r="C37" t="s">
        <v>314</v>
      </c>
      <c r="D37" t="s">
        <v>13</v>
      </c>
      <c r="E37" t="s">
        <v>14</v>
      </c>
      <c r="F37">
        <v>5</v>
      </c>
      <c r="G37">
        <v>3000</v>
      </c>
      <c r="H37">
        <v>15000</v>
      </c>
      <c r="I37" t="s">
        <v>15</v>
      </c>
      <c r="J37" t="s">
        <v>28</v>
      </c>
    </row>
    <row r="38" spans="1:10" x14ac:dyDescent="0.25">
      <c r="A38" t="s">
        <v>325</v>
      </c>
      <c r="B38" t="s">
        <v>71</v>
      </c>
      <c r="C38" t="s">
        <v>326</v>
      </c>
      <c r="D38" t="s">
        <v>13</v>
      </c>
      <c r="E38" t="s">
        <v>14</v>
      </c>
      <c r="F38">
        <v>1</v>
      </c>
      <c r="G38">
        <v>3000</v>
      </c>
      <c r="H38">
        <v>3000</v>
      </c>
      <c r="I38" t="s">
        <v>39</v>
      </c>
      <c r="J38" t="s">
        <v>43</v>
      </c>
    </row>
    <row r="39" spans="1:10" x14ac:dyDescent="0.25">
      <c r="A39" t="s">
        <v>327</v>
      </c>
      <c r="B39" t="s">
        <v>74</v>
      </c>
      <c r="C39" t="s">
        <v>328</v>
      </c>
      <c r="D39" t="s">
        <v>13</v>
      </c>
      <c r="E39" t="s">
        <v>14</v>
      </c>
      <c r="F39">
        <v>4</v>
      </c>
      <c r="G39">
        <v>3000</v>
      </c>
      <c r="H39">
        <v>12000</v>
      </c>
      <c r="I39" t="s">
        <v>15</v>
      </c>
      <c r="J39" t="s">
        <v>16</v>
      </c>
    </row>
    <row r="40" spans="1:10" x14ac:dyDescent="0.25">
      <c r="A40" t="s">
        <v>331</v>
      </c>
      <c r="B40" t="s">
        <v>80</v>
      </c>
      <c r="C40" t="s">
        <v>332</v>
      </c>
      <c r="D40" t="s">
        <v>13</v>
      </c>
      <c r="E40" t="s">
        <v>14</v>
      </c>
      <c r="F40">
        <v>4</v>
      </c>
      <c r="G40">
        <v>3000</v>
      </c>
      <c r="H40">
        <v>12000</v>
      </c>
      <c r="I40" t="s">
        <v>15</v>
      </c>
      <c r="J40" t="s">
        <v>28</v>
      </c>
    </row>
    <row r="41" spans="1:10" x14ac:dyDescent="0.25">
      <c r="A41" t="s">
        <v>335</v>
      </c>
      <c r="B41" t="s">
        <v>86</v>
      </c>
      <c r="C41" t="s">
        <v>336</v>
      </c>
      <c r="D41" t="s">
        <v>13</v>
      </c>
      <c r="E41" t="s">
        <v>14</v>
      </c>
      <c r="F41">
        <v>3</v>
      </c>
      <c r="G41">
        <v>3000</v>
      </c>
      <c r="H41">
        <v>9000</v>
      </c>
      <c r="I41" t="s">
        <v>39</v>
      </c>
      <c r="J41" t="s">
        <v>23</v>
      </c>
    </row>
    <row r="42" spans="1:10" x14ac:dyDescent="0.25">
      <c r="A42" t="s">
        <v>337</v>
      </c>
      <c r="B42" t="s">
        <v>89</v>
      </c>
      <c r="C42" t="s">
        <v>338</v>
      </c>
      <c r="D42" t="s">
        <v>13</v>
      </c>
      <c r="E42" t="s">
        <v>14</v>
      </c>
      <c r="F42">
        <v>4</v>
      </c>
      <c r="G42">
        <v>3000</v>
      </c>
      <c r="H42">
        <v>12000</v>
      </c>
      <c r="I42" t="s">
        <v>22</v>
      </c>
      <c r="J42" t="s">
        <v>28</v>
      </c>
    </row>
    <row r="43" spans="1:10" x14ac:dyDescent="0.25">
      <c r="A43" t="s">
        <v>339</v>
      </c>
      <c r="B43" t="s">
        <v>92</v>
      </c>
      <c r="C43" t="s">
        <v>340</v>
      </c>
      <c r="D43" t="s">
        <v>13</v>
      </c>
      <c r="E43" t="s">
        <v>14</v>
      </c>
      <c r="F43">
        <v>4</v>
      </c>
      <c r="G43">
        <v>3000</v>
      </c>
      <c r="H43">
        <v>12000</v>
      </c>
      <c r="I43" t="s">
        <v>15</v>
      </c>
      <c r="J43" t="s">
        <v>28</v>
      </c>
    </row>
    <row r="44" spans="1:10" x14ac:dyDescent="0.25">
      <c r="A44" t="s">
        <v>343</v>
      </c>
      <c r="B44" t="s">
        <v>98</v>
      </c>
      <c r="C44" t="s">
        <v>344</v>
      </c>
      <c r="D44" t="s">
        <v>13</v>
      </c>
      <c r="E44" t="s">
        <v>14</v>
      </c>
      <c r="F44">
        <v>1</v>
      </c>
      <c r="G44">
        <v>3000</v>
      </c>
      <c r="H44">
        <v>3000</v>
      </c>
      <c r="I44" t="s">
        <v>15</v>
      </c>
      <c r="J44" t="s">
        <v>28</v>
      </c>
    </row>
    <row r="45" spans="1:10" x14ac:dyDescent="0.25">
      <c r="A45" t="s">
        <v>24</v>
      </c>
      <c r="B45" t="s">
        <v>25</v>
      </c>
      <c r="C45" t="s">
        <v>26</v>
      </c>
      <c r="D45" t="s">
        <v>27</v>
      </c>
      <c r="E45" t="s">
        <v>21</v>
      </c>
      <c r="F45">
        <v>3</v>
      </c>
      <c r="G45">
        <v>12000</v>
      </c>
      <c r="H45">
        <v>36000</v>
      </c>
      <c r="I45" t="s">
        <v>15</v>
      </c>
      <c r="J45" t="s">
        <v>28</v>
      </c>
    </row>
    <row r="46" spans="1:10" x14ac:dyDescent="0.25">
      <c r="A46" t="s">
        <v>36</v>
      </c>
      <c r="B46" t="s">
        <v>37</v>
      </c>
      <c r="C46" t="s">
        <v>38</v>
      </c>
      <c r="D46" t="s">
        <v>27</v>
      </c>
      <c r="E46" t="s">
        <v>21</v>
      </c>
      <c r="F46">
        <v>5</v>
      </c>
      <c r="G46">
        <v>12000</v>
      </c>
      <c r="H46">
        <v>60000</v>
      </c>
      <c r="I46" t="s">
        <v>39</v>
      </c>
      <c r="J46" t="s">
        <v>23</v>
      </c>
    </row>
    <row r="47" spans="1:10" x14ac:dyDescent="0.25">
      <c r="A47" t="s">
        <v>64</v>
      </c>
      <c r="B47" t="s">
        <v>65</v>
      </c>
      <c r="C47" t="s">
        <v>66</v>
      </c>
      <c r="D47" t="s">
        <v>27</v>
      </c>
      <c r="E47" t="s">
        <v>21</v>
      </c>
      <c r="F47">
        <v>2</v>
      </c>
      <c r="G47">
        <v>12000</v>
      </c>
      <c r="H47">
        <v>24000</v>
      </c>
      <c r="I47" t="s">
        <v>54</v>
      </c>
      <c r="J47" t="s">
        <v>16</v>
      </c>
    </row>
    <row r="48" spans="1:10" x14ac:dyDescent="0.25">
      <c r="A48" t="s">
        <v>82</v>
      </c>
      <c r="B48" t="s">
        <v>83</v>
      </c>
      <c r="C48" t="s">
        <v>84</v>
      </c>
      <c r="D48" t="s">
        <v>27</v>
      </c>
      <c r="E48" t="s">
        <v>21</v>
      </c>
      <c r="F48">
        <v>3</v>
      </c>
      <c r="G48">
        <v>12000</v>
      </c>
      <c r="H48">
        <v>36000</v>
      </c>
      <c r="I48" t="s">
        <v>15</v>
      </c>
      <c r="J48" t="s">
        <v>28</v>
      </c>
    </row>
    <row r="49" spans="1:10" x14ac:dyDescent="0.25">
      <c r="A49" t="s">
        <v>112</v>
      </c>
      <c r="B49" t="s">
        <v>113</v>
      </c>
      <c r="C49" t="s">
        <v>114</v>
      </c>
      <c r="D49" t="s">
        <v>27</v>
      </c>
      <c r="E49" t="s">
        <v>21</v>
      </c>
      <c r="F49">
        <v>2</v>
      </c>
      <c r="G49">
        <v>12000</v>
      </c>
      <c r="H49">
        <v>24000</v>
      </c>
      <c r="I49" t="s">
        <v>54</v>
      </c>
      <c r="J49" t="s">
        <v>28</v>
      </c>
    </row>
    <row r="50" spans="1:10" x14ac:dyDescent="0.25">
      <c r="A50" t="s">
        <v>127</v>
      </c>
      <c r="B50" t="s">
        <v>128</v>
      </c>
      <c r="C50" t="s">
        <v>129</v>
      </c>
      <c r="D50" t="s">
        <v>27</v>
      </c>
      <c r="E50" t="s">
        <v>21</v>
      </c>
      <c r="F50">
        <v>5</v>
      </c>
      <c r="G50">
        <v>12000</v>
      </c>
      <c r="H50">
        <v>60000</v>
      </c>
      <c r="I50" t="s">
        <v>22</v>
      </c>
      <c r="J50" t="s">
        <v>23</v>
      </c>
    </row>
    <row r="51" spans="1:10" x14ac:dyDescent="0.25">
      <c r="A51" t="s">
        <v>139</v>
      </c>
      <c r="B51" t="s">
        <v>140</v>
      </c>
      <c r="C51" t="s">
        <v>141</v>
      </c>
      <c r="D51" t="s">
        <v>27</v>
      </c>
      <c r="E51" t="s">
        <v>21</v>
      </c>
      <c r="F51">
        <v>3</v>
      </c>
      <c r="G51">
        <v>12000</v>
      </c>
      <c r="H51">
        <v>36000</v>
      </c>
      <c r="I51" t="s">
        <v>15</v>
      </c>
      <c r="J51" t="s">
        <v>23</v>
      </c>
    </row>
    <row r="52" spans="1:10" x14ac:dyDescent="0.25">
      <c r="A52" t="s">
        <v>157</v>
      </c>
      <c r="B52" t="s">
        <v>158</v>
      </c>
      <c r="C52" t="s">
        <v>159</v>
      </c>
      <c r="D52" t="s">
        <v>27</v>
      </c>
      <c r="E52" t="s">
        <v>21</v>
      </c>
      <c r="F52">
        <v>4</v>
      </c>
      <c r="G52">
        <v>12000</v>
      </c>
      <c r="H52">
        <v>48000</v>
      </c>
      <c r="I52" t="s">
        <v>39</v>
      </c>
      <c r="J52" t="s">
        <v>28</v>
      </c>
    </row>
    <row r="53" spans="1:10" x14ac:dyDescent="0.25">
      <c r="A53" t="s">
        <v>163</v>
      </c>
      <c r="B53" t="s">
        <v>164</v>
      </c>
      <c r="C53" t="s">
        <v>165</v>
      </c>
      <c r="D53" t="s">
        <v>27</v>
      </c>
      <c r="E53" t="s">
        <v>21</v>
      </c>
      <c r="F53">
        <v>5</v>
      </c>
      <c r="G53">
        <v>12000</v>
      </c>
      <c r="H53">
        <v>60000</v>
      </c>
      <c r="I53" t="s">
        <v>39</v>
      </c>
      <c r="J53" t="s">
        <v>23</v>
      </c>
    </row>
    <row r="54" spans="1:10" x14ac:dyDescent="0.25">
      <c r="A54" t="s">
        <v>172</v>
      </c>
      <c r="B54" t="s">
        <v>173</v>
      </c>
      <c r="C54" t="s">
        <v>174</v>
      </c>
      <c r="D54" t="s">
        <v>27</v>
      </c>
      <c r="E54" t="s">
        <v>21</v>
      </c>
      <c r="F54">
        <v>5</v>
      </c>
      <c r="G54">
        <v>12000</v>
      </c>
      <c r="H54">
        <v>60000</v>
      </c>
      <c r="I54" t="s">
        <v>54</v>
      </c>
      <c r="J54" t="s">
        <v>23</v>
      </c>
    </row>
    <row r="55" spans="1:10" x14ac:dyDescent="0.25">
      <c r="A55" t="s">
        <v>178</v>
      </c>
      <c r="B55" t="s">
        <v>179</v>
      </c>
      <c r="C55" t="s">
        <v>180</v>
      </c>
      <c r="D55" t="s">
        <v>27</v>
      </c>
      <c r="E55" t="s">
        <v>21</v>
      </c>
      <c r="F55">
        <v>1</v>
      </c>
      <c r="G55">
        <v>12000</v>
      </c>
      <c r="H55">
        <v>12000</v>
      </c>
      <c r="I55" t="s">
        <v>39</v>
      </c>
      <c r="J55" t="s">
        <v>16</v>
      </c>
    </row>
    <row r="56" spans="1:10" x14ac:dyDescent="0.25">
      <c r="A56" t="s">
        <v>190</v>
      </c>
      <c r="B56" t="s">
        <v>191</v>
      </c>
      <c r="C56" t="s">
        <v>192</v>
      </c>
      <c r="D56" t="s">
        <v>27</v>
      </c>
      <c r="E56" t="s">
        <v>21</v>
      </c>
      <c r="F56">
        <v>5</v>
      </c>
      <c r="G56">
        <v>12000</v>
      </c>
      <c r="H56">
        <v>60000</v>
      </c>
      <c r="I56" t="s">
        <v>22</v>
      </c>
      <c r="J56" t="s">
        <v>16</v>
      </c>
    </row>
    <row r="57" spans="1:10" x14ac:dyDescent="0.25">
      <c r="A57" t="s">
        <v>196</v>
      </c>
      <c r="B57" t="s">
        <v>197</v>
      </c>
      <c r="C57" t="s">
        <v>198</v>
      </c>
      <c r="D57" t="s">
        <v>27</v>
      </c>
      <c r="E57" t="s">
        <v>21</v>
      </c>
      <c r="F57">
        <v>5</v>
      </c>
      <c r="G57">
        <v>12000</v>
      </c>
      <c r="H57">
        <v>60000</v>
      </c>
      <c r="I57" t="s">
        <v>39</v>
      </c>
      <c r="J57" t="s">
        <v>28</v>
      </c>
    </row>
    <row r="58" spans="1:10" x14ac:dyDescent="0.25">
      <c r="A58" t="s">
        <v>205</v>
      </c>
      <c r="B58" t="s">
        <v>206</v>
      </c>
      <c r="C58" t="s">
        <v>207</v>
      </c>
      <c r="D58" t="s">
        <v>27</v>
      </c>
      <c r="E58" t="s">
        <v>21</v>
      </c>
      <c r="F58">
        <v>4</v>
      </c>
      <c r="G58">
        <v>12000</v>
      </c>
      <c r="H58">
        <v>48000</v>
      </c>
      <c r="I58" t="s">
        <v>22</v>
      </c>
      <c r="J58" t="s">
        <v>43</v>
      </c>
    </row>
    <row r="59" spans="1:10" x14ac:dyDescent="0.25">
      <c r="A59" t="s">
        <v>211</v>
      </c>
      <c r="B59" t="s">
        <v>212</v>
      </c>
      <c r="C59" t="s">
        <v>213</v>
      </c>
      <c r="D59" t="s">
        <v>27</v>
      </c>
      <c r="E59" t="s">
        <v>21</v>
      </c>
      <c r="F59">
        <v>2</v>
      </c>
      <c r="G59">
        <v>12000</v>
      </c>
      <c r="H59">
        <v>24000</v>
      </c>
      <c r="I59" t="s">
        <v>22</v>
      </c>
      <c r="J59" t="s">
        <v>16</v>
      </c>
    </row>
    <row r="60" spans="1:10" x14ac:dyDescent="0.25">
      <c r="A60" t="s">
        <v>229</v>
      </c>
      <c r="B60" t="s">
        <v>230</v>
      </c>
      <c r="C60" t="s">
        <v>231</v>
      </c>
      <c r="D60" t="s">
        <v>27</v>
      </c>
      <c r="E60" t="s">
        <v>21</v>
      </c>
      <c r="F60">
        <v>4</v>
      </c>
      <c r="G60">
        <v>12000</v>
      </c>
      <c r="H60">
        <v>48000</v>
      </c>
      <c r="I60" t="s">
        <v>39</v>
      </c>
      <c r="J60" t="s">
        <v>16</v>
      </c>
    </row>
    <row r="61" spans="1:10" x14ac:dyDescent="0.25">
      <c r="A61" t="s">
        <v>253</v>
      </c>
      <c r="B61" t="s">
        <v>254</v>
      </c>
      <c r="C61" t="s">
        <v>255</v>
      </c>
      <c r="D61" t="s">
        <v>27</v>
      </c>
      <c r="E61" t="s">
        <v>21</v>
      </c>
      <c r="F61">
        <v>1</v>
      </c>
      <c r="G61">
        <v>12000</v>
      </c>
      <c r="H61">
        <v>12000</v>
      </c>
      <c r="I61" t="s">
        <v>15</v>
      </c>
      <c r="J61" t="s">
        <v>43</v>
      </c>
    </row>
    <row r="62" spans="1:10" x14ac:dyDescent="0.25">
      <c r="A62" t="s">
        <v>259</v>
      </c>
      <c r="B62" t="s">
        <v>260</v>
      </c>
      <c r="C62" t="s">
        <v>261</v>
      </c>
      <c r="D62" t="s">
        <v>27</v>
      </c>
      <c r="E62" t="s">
        <v>21</v>
      </c>
      <c r="F62">
        <v>3</v>
      </c>
      <c r="G62">
        <v>12000</v>
      </c>
      <c r="H62">
        <v>36000</v>
      </c>
      <c r="I62" t="s">
        <v>39</v>
      </c>
      <c r="J62" t="s">
        <v>23</v>
      </c>
    </row>
    <row r="63" spans="1:10" x14ac:dyDescent="0.25">
      <c r="A63" t="s">
        <v>271</v>
      </c>
      <c r="B63" t="s">
        <v>272</v>
      </c>
      <c r="C63" t="s">
        <v>273</v>
      </c>
      <c r="D63" t="s">
        <v>27</v>
      </c>
      <c r="E63" t="s">
        <v>21</v>
      </c>
      <c r="F63">
        <v>5</v>
      </c>
      <c r="G63">
        <v>12000</v>
      </c>
      <c r="H63">
        <v>60000</v>
      </c>
      <c r="I63" t="s">
        <v>39</v>
      </c>
      <c r="J63" t="s">
        <v>28</v>
      </c>
    </row>
    <row r="64" spans="1:10" x14ac:dyDescent="0.25">
      <c r="A64" t="s">
        <v>277</v>
      </c>
      <c r="B64" t="s">
        <v>278</v>
      </c>
      <c r="C64" t="s">
        <v>279</v>
      </c>
      <c r="D64" t="s">
        <v>27</v>
      </c>
      <c r="E64" t="s">
        <v>21</v>
      </c>
      <c r="F64">
        <v>4</v>
      </c>
      <c r="G64">
        <v>12000</v>
      </c>
      <c r="H64">
        <v>48000</v>
      </c>
      <c r="I64" t="s">
        <v>39</v>
      </c>
      <c r="J64" t="s">
        <v>43</v>
      </c>
    </row>
    <row r="65" spans="1:10" x14ac:dyDescent="0.25">
      <c r="A65" t="s">
        <v>283</v>
      </c>
      <c r="B65" t="s">
        <v>284</v>
      </c>
      <c r="C65" t="s">
        <v>285</v>
      </c>
      <c r="D65" t="s">
        <v>27</v>
      </c>
      <c r="E65" t="s">
        <v>21</v>
      </c>
      <c r="F65">
        <v>3</v>
      </c>
      <c r="G65">
        <v>12000</v>
      </c>
      <c r="H65">
        <v>36000</v>
      </c>
      <c r="I65" t="s">
        <v>15</v>
      </c>
      <c r="J65" t="s">
        <v>43</v>
      </c>
    </row>
    <row r="66" spans="1:10" x14ac:dyDescent="0.25">
      <c r="A66" t="s">
        <v>286</v>
      </c>
      <c r="B66" t="s">
        <v>287</v>
      </c>
      <c r="C66" t="s">
        <v>288</v>
      </c>
      <c r="D66" t="s">
        <v>27</v>
      </c>
      <c r="E66" t="s">
        <v>21</v>
      </c>
      <c r="F66">
        <v>3</v>
      </c>
      <c r="G66">
        <v>12000</v>
      </c>
      <c r="H66">
        <v>36000</v>
      </c>
      <c r="I66" t="s">
        <v>15</v>
      </c>
      <c r="J66" t="s">
        <v>43</v>
      </c>
    </row>
    <row r="67" spans="1:10" x14ac:dyDescent="0.25">
      <c r="A67" t="s">
        <v>292</v>
      </c>
      <c r="B67" t="s">
        <v>293</v>
      </c>
      <c r="C67" t="s">
        <v>294</v>
      </c>
      <c r="D67" t="s">
        <v>27</v>
      </c>
      <c r="E67" t="s">
        <v>21</v>
      </c>
      <c r="F67">
        <v>3</v>
      </c>
      <c r="G67">
        <v>12000</v>
      </c>
      <c r="H67">
        <v>36000</v>
      </c>
      <c r="I67" t="s">
        <v>22</v>
      </c>
      <c r="J67" t="s">
        <v>23</v>
      </c>
    </row>
    <row r="68" spans="1:10" x14ac:dyDescent="0.25">
      <c r="A68" t="s">
        <v>297</v>
      </c>
      <c r="B68" t="s">
        <v>18</v>
      </c>
      <c r="C68" t="s">
        <v>298</v>
      </c>
      <c r="D68" t="s">
        <v>27</v>
      </c>
      <c r="E68" t="s">
        <v>21</v>
      </c>
      <c r="F68">
        <v>5</v>
      </c>
      <c r="G68">
        <v>12000</v>
      </c>
      <c r="H68">
        <v>60000</v>
      </c>
      <c r="I68" t="s">
        <v>39</v>
      </c>
      <c r="J68" t="s">
        <v>23</v>
      </c>
    </row>
    <row r="69" spans="1:10" x14ac:dyDescent="0.25">
      <c r="A69" t="s">
        <v>303</v>
      </c>
      <c r="B69" t="s">
        <v>34</v>
      </c>
      <c r="C69" t="s">
        <v>304</v>
      </c>
      <c r="D69" t="s">
        <v>27</v>
      </c>
      <c r="E69" t="s">
        <v>21</v>
      </c>
      <c r="F69">
        <v>1</v>
      </c>
      <c r="G69">
        <v>12000</v>
      </c>
      <c r="H69">
        <v>12000</v>
      </c>
      <c r="I69" t="s">
        <v>22</v>
      </c>
      <c r="J69" t="s">
        <v>43</v>
      </c>
    </row>
    <row r="70" spans="1:10" x14ac:dyDescent="0.25">
      <c r="A70" t="s">
        <v>311</v>
      </c>
      <c r="B70" t="s">
        <v>49</v>
      </c>
      <c r="C70" t="s">
        <v>312</v>
      </c>
      <c r="D70" t="s">
        <v>27</v>
      </c>
      <c r="E70" t="s">
        <v>21</v>
      </c>
      <c r="F70">
        <v>2</v>
      </c>
      <c r="G70">
        <v>12000</v>
      </c>
      <c r="H70">
        <v>24000</v>
      </c>
      <c r="I70" t="s">
        <v>39</v>
      </c>
      <c r="J70" t="s">
        <v>43</v>
      </c>
    </row>
    <row r="71" spans="1:10" x14ac:dyDescent="0.25">
      <c r="A71" t="s">
        <v>315</v>
      </c>
      <c r="B71" t="s">
        <v>56</v>
      </c>
      <c r="C71" t="s">
        <v>316</v>
      </c>
      <c r="D71" t="s">
        <v>27</v>
      </c>
      <c r="E71" t="s">
        <v>21</v>
      </c>
      <c r="F71">
        <v>5</v>
      </c>
      <c r="G71">
        <v>12000</v>
      </c>
      <c r="H71">
        <v>60000</v>
      </c>
      <c r="I71" t="s">
        <v>22</v>
      </c>
      <c r="J71" t="s">
        <v>23</v>
      </c>
    </row>
    <row r="72" spans="1:10" x14ac:dyDescent="0.25">
      <c r="A72" t="s">
        <v>347</v>
      </c>
      <c r="B72" t="s">
        <v>104</v>
      </c>
      <c r="C72" t="s">
        <v>348</v>
      </c>
      <c r="D72" t="s">
        <v>27</v>
      </c>
      <c r="E72" t="s">
        <v>21</v>
      </c>
      <c r="F72">
        <v>2</v>
      </c>
      <c r="G72">
        <v>12000</v>
      </c>
      <c r="H72">
        <v>24000</v>
      </c>
      <c r="I72" t="s">
        <v>22</v>
      </c>
      <c r="J72" t="s">
        <v>28</v>
      </c>
    </row>
    <row r="73" spans="1:10" x14ac:dyDescent="0.25">
      <c r="A73" t="s">
        <v>29</v>
      </c>
      <c r="B73" t="s">
        <v>30</v>
      </c>
      <c r="C73" t="s">
        <v>31</v>
      </c>
      <c r="D73" t="s">
        <v>32</v>
      </c>
      <c r="E73" t="s">
        <v>21</v>
      </c>
      <c r="F73">
        <v>1</v>
      </c>
      <c r="G73">
        <v>8000</v>
      </c>
      <c r="H73">
        <v>8000</v>
      </c>
      <c r="I73" t="s">
        <v>15</v>
      </c>
      <c r="J73" t="s">
        <v>23</v>
      </c>
    </row>
    <row r="74" spans="1:10" x14ac:dyDescent="0.25">
      <c r="A74" t="s">
        <v>40</v>
      </c>
      <c r="B74" t="s">
        <v>41</v>
      </c>
      <c r="C74" t="s">
        <v>42</v>
      </c>
      <c r="D74" t="s">
        <v>32</v>
      </c>
      <c r="E74" t="s">
        <v>21</v>
      </c>
      <c r="F74">
        <v>1</v>
      </c>
      <c r="G74">
        <v>8000</v>
      </c>
      <c r="H74">
        <v>8000</v>
      </c>
      <c r="I74" t="s">
        <v>22</v>
      </c>
      <c r="J74" t="s">
        <v>43</v>
      </c>
    </row>
    <row r="75" spans="1:10" x14ac:dyDescent="0.25">
      <c r="A75" t="s">
        <v>48</v>
      </c>
      <c r="B75" t="s">
        <v>49</v>
      </c>
      <c r="C75" t="s">
        <v>50</v>
      </c>
      <c r="D75" t="s">
        <v>32</v>
      </c>
      <c r="E75" t="s">
        <v>21</v>
      </c>
      <c r="F75">
        <v>5</v>
      </c>
      <c r="G75">
        <v>8000</v>
      </c>
      <c r="H75">
        <v>40000</v>
      </c>
      <c r="I75" t="s">
        <v>15</v>
      </c>
      <c r="J75" t="s">
        <v>43</v>
      </c>
    </row>
    <row r="76" spans="1:10" x14ac:dyDescent="0.25">
      <c r="A76" t="s">
        <v>73</v>
      </c>
      <c r="B76" t="s">
        <v>74</v>
      </c>
      <c r="C76" t="s">
        <v>75</v>
      </c>
      <c r="D76" t="s">
        <v>32</v>
      </c>
      <c r="E76" t="s">
        <v>21</v>
      </c>
      <c r="F76">
        <v>3</v>
      </c>
      <c r="G76">
        <v>8000</v>
      </c>
      <c r="H76">
        <v>24000</v>
      </c>
      <c r="I76" t="s">
        <v>54</v>
      </c>
      <c r="J76" t="s">
        <v>28</v>
      </c>
    </row>
    <row r="77" spans="1:10" x14ac:dyDescent="0.25">
      <c r="A77" t="s">
        <v>85</v>
      </c>
      <c r="B77" t="s">
        <v>86</v>
      </c>
      <c r="C77" t="s">
        <v>87</v>
      </c>
      <c r="D77" t="s">
        <v>32</v>
      </c>
      <c r="E77" t="s">
        <v>21</v>
      </c>
      <c r="F77">
        <v>5</v>
      </c>
      <c r="G77">
        <v>8000</v>
      </c>
      <c r="H77">
        <v>40000</v>
      </c>
      <c r="I77" t="s">
        <v>22</v>
      </c>
      <c r="J77" t="s">
        <v>16</v>
      </c>
    </row>
    <row r="78" spans="1:10" x14ac:dyDescent="0.25">
      <c r="A78" t="s">
        <v>91</v>
      </c>
      <c r="B78" t="s">
        <v>92</v>
      </c>
      <c r="C78" t="s">
        <v>93</v>
      </c>
      <c r="D78" t="s">
        <v>32</v>
      </c>
      <c r="E78" t="s">
        <v>21</v>
      </c>
      <c r="F78">
        <v>4</v>
      </c>
      <c r="G78">
        <v>8000</v>
      </c>
      <c r="H78">
        <v>32000</v>
      </c>
      <c r="I78" t="s">
        <v>15</v>
      </c>
      <c r="J78" t="s">
        <v>16</v>
      </c>
    </row>
    <row r="79" spans="1:10" x14ac:dyDescent="0.25">
      <c r="A79" t="s">
        <v>97</v>
      </c>
      <c r="B79" t="s">
        <v>98</v>
      </c>
      <c r="C79" t="s">
        <v>99</v>
      </c>
      <c r="D79" t="s">
        <v>32</v>
      </c>
      <c r="E79" t="s">
        <v>21</v>
      </c>
      <c r="F79">
        <v>2</v>
      </c>
      <c r="G79">
        <v>8000</v>
      </c>
      <c r="H79">
        <v>16000</v>
      </c>
      <c r="I79" t="s">
        <v>22</v>
      </c>
      <c r="J79" t="s">
        <v>43</v>
      </c>
    </row>
    <row r="80" spans="1:10" x14ac:dyDescent="0.25">
      <c r="A80" t="s">
        <v>136</v>
      </c>
      <c r="B80" t="s">
        <v>137</v>
      </c>
      <c r="C80" t="s">
        <v>138</v>
      </c>
      <c r="D80" t="s">
        <v>32</v>
      </c>
      <c r="E80" t="s">
        <v>21</v>
      </c>
      <c r="F80">
        <v>1</v>
      </c>
      <c r="G80">
        <v>8000</v>
      </c>
      <c r="H80">
        <v>8000</v>
      </c>
      <c r="I80" t="s">
        <v>15</v>
      </c>
      <c r="J80" t="s">
        <v>28</v>
      </c>
    </row>
    <row r="81" spans="1:10" x14ac:dyDescent="0.25">
      <c r="A81" t="s">
        <v>154</v>
      </c>
      <c r="B81" t="s">
        <v>155</v>
      </c>
      <c r="C81" t="s">
        <v>156</v>
      </c>
      <c r="D81" t="s">
        <v>32</v>
      </c>
      <c r="E81" t="s">
        <v>21</v>
      </c>
      <c r="F81">
        <v>2</v>
      </c>
      <c r="G81">
        <v>8000</v>
      </c>
      <c r="H81">
        <v>16000</v>
      </c>
      <c r="I81" t="s">
        <v>22</v>
      </c>
      <c r="J81" t="s">
        <v>16</v>
      </c>
    </row>
    <row r="82" spans="1:10" x14ac:dyDescent="0.25">
      <c r="A82" t="s">
        <v>187</v>
      </c>
      <c r="B82" t="s">
        <v>188</v>
      </c>
      <c r="C82" t="s">
        <v>189</v>
      </c>
      <c r="D82" t="s">
        <v>32</v>
      </c>
      <c r="E82" t="s">
        <v>21</v>
      </c>
      <c r="F82">
        <v>5</v>
      </c>
      <c r="G82">
        <v>8000</v>
      </c>
      <c r="H82">
        <v>40000</v>
      </c>
      <c r="I82" t="s">
        <v>15</v>
      </c>
      <c r="J82" t="s">
        <v>28</v>
      </c>
    </row>
    <row r="83" spans="1:10" x14ac:dyDescent="0.25">
      <c r="A83" t="s">
        <v>214</v>
      </c>
      <c r="B83" t="s">
        <v>215</v>
      </c>
      <c r="C83" t="s">
        <v>216</v>
      </c>
      <c r="D83" t="s">
        <v>32</v>
      </c>
      <c r="E83" t="s">
        <v>21</v>
      </c>
      <c r="F83">
        <v>2</v>
      </c>
      <c r="G83">
        <v>8000</v>
      </c>
      <c r="H83">
        <v>16000</v>
      </c>
      <c r="I83" t="s">
        <v>54</v>
      </c>
      <c r="J83" t="s">
        <v>16</v>
      </c>
    </row>
    <row r="84" spans="1:10" x14ac:dyDescent="0.25">
      <c r="A84" t="s">
        <v>220</v>
      </c>
      <c r="B84" t="s">
        <v>221</v>
      </c>
      <c r="C84" t="s">
        <v>222</v>
      </c>
      <c r="D84" t="s">
        <v>32</v>
      </c>
      <c r="E84" t="s">
        <v>21</v>
      </c>
      <c r="F84">
        <v>5</v>
      </c>
      <c r="G84">
        <v>8000</v>
      </c>
      <c r="H84">
        <v>40000</v>
      </c>
      <c r="I84" t="s">
        <v>22</v>
      </c>
      <c r="J84" t="s">
        <v>23</v>
      </c>
    </row>
    <row r="85" spans="1:10" x14ac:dyDescent="0.25">
      <c r="A85" t="s">
        <v>223</v>
      </c>
      <c r="B85" t="s">
        <v>224</v>
      </c>
      <c r="C85" t="s">
        <v>225</v>
      </c>
      <c r="D85" t="s">
        <v>32</v>
      </c>
      <c r="E85" t="s">
        <v>21</v>
      </c>
      <c r="F85">
        <v>1</v>
      </c>
      <c r="G85">
        <v>8000</v>
      </c>
      <c r="H85">
        <v>8000</v>
      </c>
      <c r="I85" t="s">
        <v>54</v>
      </c>
      <c r="J85" t="s">
        <v>23</v>
      </c>
    </row>
    <row r="86" spans="1:10" x14ac:dyDescent="0.25">
      <c r="A86" t="s">
        <v>226</v>
      </c>
      <c r="B86" t="s">
        <v>227</v>
      </c>
      <c r="C86" t="s">
        <v>228</v>
      </c>
      <c r="D86" t="s">
        <v>32</v>
      </c>
      <c r="E86" t="s">
        <v>21</v>
      </c>
      <c r="F86">
        <v>2</v>
      </c>
      <c r="G86">
        <v>8000</v>
      </c>
      <c r="H86">
        <v>16000</v>
      </c>
      <c r="I86" t="s">
        <v>39</v>
      </c>
      <c r="J86" t="s">
        <v>16</v>
      </c>
    </row>
    <row r="87" spans="1:10" x14ac:dyDescent="0.25">
      <c r="A87" t="s">
        <v>238</v>
      </c>
      <c r="B87" t="s">
        <v>239</v>
      </c>
      <c r="C87" t="s">
        <v>240</v>
      </c>
      <c r="D87" t="s">
        <v>32</v>
      </c>
      <c r="E87" t="s">
        <v>21</v>
      </c>
      <c r="F87">
        <v>2</v>
      </c>
      <c r="G87">
        <v>8000</v>
      </c>
      <c r="H87">
        <v>16000</v>
      </c>
      <c r="I87" t="s">
        <v>54</v>
      </c>
      <c r="J87" t="s">
        <v>23</v>
      </c>
    </row>
    <row r="88" spans="1:10" x14ac:dyDescent="0.25">
      <c r="A88" t="s">
        <v>256</v>
      </c>
      <c r="B88" t="s">
        <v>257</v>
      </c>
      <c r="C88" t="s">
        <v>258</v>
      </c>
      <c r="D88" t="s">
        <v>32</v>
      </c>
      <c r="E88" t="s">
        <v>21</v>
      </c>
      <c r="F88">
        <v>1</v>
      </c>
      <c r="G88">
        <v>8000</v>
      </c>
      <c r="H88">
        <v>8000</v>
      </c>
      <c r="I88" t="s">
        <v>15</v>
      </c>
      <c r="J88" t="s">
        <v>23</v>
      </c>
    </row>
    <row r="89" spans="1:10" x14ac:dyDescent="0.25">
      <c r="A89" t="s">
        <v>265</v>
      </c>
      <c r="B89" t="s">
        <v>266</v>
      </c>
      <c r="C89" t="s">
        <v>267</v>
      </c>
      <c r="D89" t="s">
        <v>32</v>
      </c>
      <c r="E89" t="s">
        <v>21</v>
      </c>
      <c r="F89">
        <v>5</v>
      </c>
      <c r="G89">
        <v>8000</v>
      </c>
      <c r="H89">
        <v>40000</v>
      </c>
      <c r="I89" t="s">
        <v>39</v>
      </c>
      <c r="J89" t="s">
        <v>23</v>
      </c>
    </row>
    <row r="90" spans="1:10" x14ac:dyDescent="0.25">
      <c r="A90" t="s">
        <v>268</v>
      </c>
      <c r="B90" t="s">
        <v>269</v>
      </c>
      <c r="C90" t="s">
        <v>270</v>
      </c>
      <c r="D90" t="s">
        <v>32</v>
      </c>
      <c r="E90" t="s">
        <v>21</v>
      </c>
      <c r="F90">
        <v>3</v>
      </c>
      <c r="G90">
        <v>8000</v>
      </c>
      <c r="H90">
        <v>24000</v>
      </c>
      <c r="I90" t="s">
        <v>15</v>
      </c>
      <c r="J90" t="s">
        <v>23</v>
      </c>
    </row>
    <row r="91" spans="1:10" x14ac:dyDescent="0.25">
      <c r="A91" t="s">
        <v>274</v>
      </c>
      <c r="B91" t="s">
        <v>275</v>
      </c>
      <c r="C91" t="s">
        <v>276</v>
      </c>
      <c r="D91" t="s">
        <v>32</v>
      </c>
      <c r="E91" t="s">
        <v>21</v>
      </c>
      <c r="F91">
        <v>1</v>
      </c>
      <c r="G91">
        <v>8000</v>
      </c>
      <c r="H91">
        <v>8000</v>
      </c>
      <c r="I91" t="s">
        <v>15</v>
      </c>
      <c r="J91" t="s">
        <v>28</v>
      </c>
    </row>
    <row r="92" spans="1:10" x14ac:dyDescent="0.25">
      <c r="A92" t="s">
        <v>299</v>
      </c>
      <c r="B92" t="s">
        <v>25</v>
      </c>
      <c r="C92" t="s">
        <v>300</v>
      </c>
      <c r="D92" t="s">
        <v>32</v>
      </c>
      <c r="E92" t="s">
        <v>21</v>
      </c>
      <c r="F92">
        <v>2</v>
      </c>
      <c r="G92">
        <v>8000</v>
      </c>
      <c r="H92">
        <v>16000</v>
      </c>
      <c r="I92" t="s">
        <v>39</v>
      </c>
      <c r="J92" t="s">
        <v>43</v>
      </c>
    </row>
    <row r="93" spans="1:10" x14ac:dyDescent="0.25">
      <c r="A93" t="s">
        <v>333</v>
      </c>
      <c r="B93" t="s">
        <v>83</v>
      </c>
      <c r="C93" t="s">
        <v>334</v>
      </c>
      <c r="D93" t="s">
        <v>32</v>
      </c>
      <c r="E93" t="s">
        <v>21</v>
      </c>
      <c r="F93">
        <v>5</v>
      </c>
      <c r="G93">
        <v>8000</v>
      </c>
      <c r="H93">
        <v>40000</v>
      </c>
      <c r="I93" t="s">
        <v>54</v>
      </c>
      <c r="J93" t="s">
        <v>28</v>
      </c>
    </row>
    <row r="94" spans="1:10" x14ac:dyDescent="0.25">
      <c r="A94" t="s">
        <v>345</v>
      </c>
      <c r="B94" t="s">
        <v>101</v>
      </c>
      <c r="C94" t="s">
        <v>346</v>
      </c>
      <c r="D94" t="s">
        <v>32</v>
      </c>
      <c r="E94" t="s">
        <v>21</v>
      </c>
      <c r="F94">
        <v>2</v>
      </c>
      <c r="G94">
        <v>8000</v>
      </c>
      <c r="H94">
        <v>16000</v>
      </c>
      <c r="I94" t="s">
        <v>22</v>
      </c>
      <c r="J94" t="s">
        <v>28</v>
      </c>
    </row>
    <row r="95" spans="1:10" x14ac:dyDescent="0.25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>
        <v>5</v>
      </c>
      <c r="G95">
        <v>5000</v>
      </c>
      <c r="H95">
        <v>25000</v>
      </c>
      <c r="I95" t="s">
        <v>22</v>
      </c>
      <c r="J95" t="s">
        <v>23</v>
      </c>
    </row>
    <row r="96" spans="1:10" x14ac:dyDescent="0.25">
      <c r="A96" t="s">
        <v>33</v>
      </c>
      <c r="B96" t="s">
        <v>34</v>
      </c>
      <c r="C96" t="s">
        <v>35</v>
      </c>
      <c r="D96" t="s">
        <v>20</v>
      </c>
      <c r="E96" t="s">
        <v>21</v>
      </c>
      <c r="F96">
        <v>2</v>
      </c>
      <c r="G96">
        <v>5000</v>
      </c>
      <c r="H96">
        <v>10000</v>
      </c>
      <c r="I96" t="s">
        <v>15</v>
      </c>
      <c r="J96" t="s">
        <v>28</v>
      </c>
    </row>
    <row r="97" spans="1:10" x14ac:dyDescent="0.25">
      <c r="A97" t="s">
        <v>51</v>
      </c>
      <c r="B97" t="s">
        <v>52</v>
      </c>
      <c r="C97" t="s">
        <v>53</v>
      </c>
      <c r="D97" t="s">
        <v>20</v>
      </c>
      <c r="E97" t="s">
        <v>21</v>
      </c>
      <c r="F97">
        <v>1</v>
      </c>
      <c r="G97">
        <v>5000</v>
      </c>
      <c r="H97">
        <v>5000</v>
      </c>
      <c r="I97" t="s">
        <v>54</v>
      </c>
      <c r="J97" t="s">
        <v>23</v>
      </c>
    </row>
    <row r="98" spans="1:10" x14ac:dyDescent="0.25">
      <c r="A98" t="s">
        <v>55</v>
      </c>
      <c r="B98" t="s">
        <v>56</v>
      </c>
      <c r="C98" t="s">
        <v>57</v>
      </c>
      <c r="D98" t="s">
        <v>20</v>
      </c>
      <c r="E98" t="s">
        <v>21</v>
      </c>
      <c r="F98">
        <v>2</v>
      </c>
      <c r="G98">
        <v>5000</v>
      </c>
      <c r="H98">
        <v>10000</v>
      </c>
      <c r="I98" t="s">
        <v>54</v>
      </c>
      <c r="J98" t="s">
        <v>28</v>
      </c>
    </row>
    <row r="99" spans="1:10" x14ac:dyDescent="0.25">
      <c r="A99" t="s">
        <v>61</v>
      </c>
      <c r="B99" t="s">
        <v>62</v>
      </c>
      <c r="C99" t="s">
        <v>63</v>
      </c>
      <c r="D99" t="s">
        <v>20</v>
      </c>
      <c r="E99" t="s">
        <v>21</v>
      </c>
      <c r="F99">
        <v>3</v>
      </c>
      <c r="G99">
        <v>5000</v>
      </c>
      <c r="H99">
        <v>15000</v>
      </c>
      <c r="I99" t="s">
        <v>22</v>
      </c>
      <c r="J99" t="s">
        <v>28</v>
      </c>
    </row>
    <row r="100" spans="1:10" x14ac:dyDescent="0.25">
      <c r="A100" t="s">
        <v>79</v>
      </c>
      <c r="B100" t="s">
        <v>80</v>
      </c>
      <c r="C100" t="s">
        <v>81</v>
      </c>
      <c r="D100" t="s">
        <v>20</v>
      </c>
      <c r="E100" t="s">
        <v>21</v>
      </c>
      <c r="F100">
        <v>3</v>
      </c>
      <c r="G100">
        <v>5000</v>
      </c>
      <c r="H100">
        <v>15000</v>
      </c>
      <c r="I100" t="s">
        <v>22</v>
      </c>
      <c r="J100" t="s">
        <v>23</v>
      </c>
    </row>
    <row r="101" spans="1:10" x14ac:dyDescent="0.25">
      <c r="A101" t="s">
        <v>88</v>
      </c>
      <c r="B101" t="s">
        <v>89</v>
      </c>
      <c r="C101" t="s">
        <v>90</v>
      </c>
      <c r="D101" t="s">
        <v>20</v>
      </c>
      <c r="E101" t="s">
        <v>21</v>
      </c>
      <c r="F101">
        <v>3</v>
      </c>
      <c r="G101">
        <v>5000</v>
      </c>
      <c r="H101">
        <v>15000</v>
      </c>
      <c r="I101" t="s">
        <v>39</v>
      </c>
      <c r="J101" t="s">
        <v>23</v>
      </c>
    </row>
    <row r="102" spans="1:10" x14ac:dyDescent="0.25">
      <c r="A102" t="s">
        <v>118</v>
      </c>
      <c r="B102" t="s">
        <v>119</v>
      </c>
      <c r="C102" t="s">
        <v>120</v>
      </c>
      <c r="D102" t="s">
        <v>20</v>
      </c>
      <c r="E102" t="s">
        <v>21</v>
      </c>
      <c r="F102">
        <v>3</v>
      </c>
      <c r="G102">
        <v>5000</v>
      </c>
      <c r="H102">
        <v>15000</v>
      </c>
      <c r="I102" t="s">
        <v>22</v>
      </c>
      <c r="J102" t="s">
        <v>43</v>
      </c>
    </row>
    <row r="103" spans="1:10" x14ac:dyDescent="0.25">
      <c r="A103" t="s">
        <v>133</v>
      </c>
      <c r="B103" t="s">
        <v>134</v>
      </c>
      <c r="C103" t="s">
        <v>135</v>
      </c>
      <c r="D103" t="s">
        <v>20</v>
      </c>
      <c r="E103" t="s">
        <v>21</v>
      </c>
      <c r="F103">
        <v>5</v>
      </c>
      <c r="G103">
        <v>5000</v>
      </c>
      <c r="H103">
        <v>25000</v>
      </c>
      <c r="I103" t="s">
        <v>22</v>
      </c>
      <c r="J103" t="s">
        <v>43</v>
      </c>
    </row>
    <row r="104" spans="1:10" x14ac:dyDescent="0.25">
      <c r="A104" t="s">
        <v>160</v>
      </c>
      <c r="B104" t="s">
        <v>161</v>
      </c>
      <c r="C104" t="s">
        <v>162</v>
      </c>
      <c r="D104" t="s">
        <v>20</v>
      </c>
      <c r="E104" t="s">
        <v>21</v>
      </c>
      <c r="F104">
        <v>5</v>
      </c>
      <c r="G104">
        <v>5000</v>
      </c>
      <c r="H104">
        <v>25000</v>
      </c>
      <c r="I104" t="s">
        <v>15</v>
      </c>
      <c r="J104" t="s">
        <v>28</v>
      </c>
    </row>
    <row r="105" spans="1:10" x14ac:dyDescent="0.25">
      <c r="A105" t="s">
        <v>166</v>
      </c>
      <c r="B105" t="s">
        <v>167</v>
      </c>
      <c r="C105" t="s">
        <v>168</v>
      </c>
      <c r="D105" t="s">
        <v>20</v>
      </c>
      <c r="E105" t="s">
        <v>21</v>
      </c>
      <c r="F105">
        <v>2</v>
      </c>
      <c r="G105">
        <v>5000</v>
      </c>
      <c r="H105">
        <v>10000</v>
      </c>
      <c r="I105" t="s">
        <v>15</v>
      </c>
      <c r="J105" t="s">
        <v>43</v>
      </c>
    </row>
    <row r="106" spans="1:10" x14ac:dyDescent="0.25">
      <c r="A106" t="s">
        <v>181</v>
      </c>
      <c r="B106" t="s">
        <v>182</v>
      </c>
      <c r="C106" t="s">
        <v>183</v>
      </c>
      <c r="D106" t="s">
        <v>20</v>
      </c>
      <c r="E106" t="s">
        <v>21</v>
      </c>
      <c r="F106">
        <v>1</v>
      </c>
      <c r="G106">
        <v>5000</v>
      </c>
      <c r="H106">
        <v>5000</v>
      </c>
      <c r="I106" t="s">
        <v>39</v>
      </c>
      <c r="J106" t="s">
        <v>43</v>
      </c>
    </row>
    <row r="107" spans="1:10" x14ac:dyDescent="0.25">
      <c r="A107" t="s">
        <v>184</v>
      </c>
      <c r="B107" t="s">
        <v>185</v>
      </c>
      <c r="C107" t="s">
        <v>186</v>
      </c>
      <c r="D107" t="s">
        <v>20</v>
      </c>
      <c r="E107" t="s">
        <v>21</v>
      </c>
      <c r="F107">
        <v>3</v>
      </c>
      <c r="G107">
        <v>5000</v>
      </c>
      <c r="H107">
        <v>15000</v>
      </c>
      <c r="I107" t="s">
        <v>22</v>
      </c>
      <c r="J107" t="s">
        <v>23</v>
      </c>
    </row>
    <row r="108" spans="1:10" x14ac:dyDescent="0.25">
      <c r="A108" t="s">
        <v>193</v>
      </c>
      <c r="B108" t="s">
        <v>194</v>
      </c>
      <c r="C108" t="s">
        <v>195</v>
      </c>
      <c r="D108" t="s">
        <v>20</v>
      </c>
      <c r="E108" t="s">
        <v>21</v>
      </c>
      <c r="F108">
        <v>1</v>
      </c>
      <c r="G108">
        <v>5000</v>
      </c>
      <c r="H108">
        <v>5000</v>
      </c>
      <c r="I108" t="s">
        <v>39</v>
      </c>
      <c r="J108" t="s">
        <v>16</v>
      </c>
    </row>
    <row r="109" spans="1:10" x14ac:dyDescent="0.25">
      <c r="A109" t="s">
        <v>208</v>
      </c>
      <c r="B109" t="s">
        <v>209</v>
      </c>
      <c r="C109" t="s">
        <v>210</v>
      </c>
      <c r="D109" t="s">
        <v>20</v>
      </c>
      <c r="E109" t="s">
        <v>21</v>
      </c>
      <c r="F109">
        <v>2</v>
      </c>
      <c r="G109">
        <v>5000</v>
      </c>
      <c r="H109">
        <v>10000</v>
      </c>
      <c r="I109" t="s">
        <v>22</v>
      </c>
      <c r="J109" t="s">
        <v>28</v>
      </c>
    </row>
    <row r="110" spans="1:10" x14ac:dyDescent="0.25">
      <c r="A110" t="s">
        <v>235</v>
      </c>
      <c r="B110" t="s">
        <v>236</v>
      </c>
      <c r="C110" t="s">
        <v>237</v>
      </c>
      <c r="D110" t="s">
        <v>20</v>
      </c>
      <c r="E110" t="s">
        <v>21</v>
      </c>
      <c r="F110">
        <v>1</v>
      </c>
      <c r="G110">
        <v>5000</v>
      </c>
      <c r="H110">
        <v>5000</v>
      </c>
      <c r="I110" t="s">
        <v>39</v>
      </c>
      <c r="J110" t="s">
        <v>28</v>
      </c>
    </row>
    <row r="111" spans="1:10" x14ac:dyDescent="0.25">
      <c r="A111" t="s">
        <v>244</v>
      </c>
      <c r="B111" t="s">
        <v>245</v>
      </c>
      <c r="C111" t="s">
        <v>246</v>
      </c>
      <c r="D111" t="s">
        <v>20</v>
      </c>
      <c r="E111" t="s">
        <v>21</v>
      </c>
      <c r="F111">
        <v>1</v>
      </c>
      <c r="G111">
        <v>5000</v>
      </c>
      <c r="H111">
        <v>5000</v>
      </c>
      <c r="I111" t="s">
        <v>54</v>
      </c>
      <c r="J111" t="s">
        <v>23</v>
      </c>
    </row>
    <row r="112" spans="1:10" x14ac:dyDescent="0.25">
      <c r="A112" t="s">
        <v>247</v>
      </c>
      <c r="B112" t="s">
        <v>248</v>
      </c>
      <c r="C112" t="s">
        <v>249</v>
      </c>
      <c r="D112" t="s">
        <v>20</v>
      </c>
      <c r="E112" t="s">
        <v>21</v>
      </c>
      <c r="F112">
        <v>5</v>
      </c>
      <c r="G112">
        <v>5000</v>
      </c>
      <c r="H112">
        <v>25000</v>
      </c>
      <c r="I112" t="s">
        <v>22</v>
      </c>
      <c r="J112" t="s">
        <v>16</v>
      </c>
    </row>
    <row r="113" spans="1:10" x14ac:dyDescent="0.25">
      <c r="A113" t="s">
        <v>250</v>
      </c>
      <c r="B113" t="s">
        <v>251</v>
      </c>
      <c r="C113" t="s">
        <v>252</v>
      </c>
      <c r="D113" t="s">
        <v>20</v>
      </c>
      <c r="E113" t="s">
        <v>21</v>
      </c>
      <c r="F113">
        <v>1</v>
      </c>
      <c r="G113">
        <v>5000</v>
      </c>
      <c r="H113">
        <v>5000</v>
      </c>
      <c r="I113" t="s">
        <v>39</v>
      </c>
      <c r="J113" t="s">
        <v>23</v>
      </c>
    </row>
    <row r="114" spans="1:10" x14ac:dyDescent="0.25">
      <c r="A114" t="s">
        <v>280</v>
      </c>
      <c r="B114" t="s">
        <v>281</v>
      </c>
      <c r="C114" t="s">
        <v>282</v>
      </c>
      <c r="D114" t="s">
        <v>20</v>
      </c>
      <c r="E114" t="s">
        <v>21</v>
      </c>
      <c r="F114">
        <v>2</v>
      </c>
      <c r="G114">
        <v>5000</v>
      </c>
      <c r="H114">
        <v>10000</v>
      </c>
      <c r="I114" t="s">
        <v>39</v>
      </c>
      <c r="J114" t="s">
        <v>23</v>
      </c>
    </row>
    <row r="115" spans="1:10" x14ac:dyDescent="0.25">
      <c r="A115" t="s">
        <v>305</v>
      </c>
      <c r="B115" t="s">
        <v>37</v>
      </c>
      <c r="C115" t="s">
        <v>306</v>
      </c>
      <c r="D115" t="s">
        <v>20</v>
      </c>
      <c r="E115" t="s">
        <v>21</v>
      </c>
      <c r="F115">
        <v>4</v>
      </c>
      <c r="G115">
        <v>5000</v>
      </c>
      <c r="H115">
        <v>20000</v>
      </c>
      <c r="I115" t="s">
        <v>54</v>
      </c>
      <c r="J115" t="s">
        <v>23</v>
      </c>
    </row>
    <row r="116" spans="1:10" x14ac:dyDescent="0.25">
      <c r="A116" t="s">
        <v>309</v>
      </c>
      <c r="B116" t="s">
        <v>45</v>
      </c>
      <c r="C116" t="s">
        <v>310</v>
      </c>
      <c r="D116" t="s">
        <v>20</v>
      </c>
      <c r="E116" t="s">
        <v>21</v>
      </c>
      <c r="F116">
        <v>1</v>
      </c>
      <c r="G116">
        <v>5000</v>
      </c>
      <c r="H116">
        <v>5000</v>
      </c>
      <c r="I116" t="s">
        <v>39</v>
      </c>
      <c r="J116" t="s">
        <v>16</v>
      </c>
    </row>
    <row r="117" spans="1:10" x14ac:dyDescent="0.25">
      <c r="A117" t="s">
        <v>317</v>
      </c>
      <c r="B117" t="s">
        <v>59</v>
      </c>
      <c r="C117" t="s">
        <v>318</v>
      </c>
      <c r="D117" t="s">
        <v>20</v>
      </c>
      <c r="E117" t="s">
        <v>21</v>
      </c>
      <c r="F117">
        <v>3</v>
      </c>
      <c r="G117">
        <v>5000</v>
      </c>
      <c r="H117">
        <v>15000</v>
      </c>
      <c r="I117" t="s">
        <v>15</v>
      </c>
      <c r="J117" t="s">
        <v>43</v>
      </c>
    </row>
    <row r="118" spans="1:10" x14ac:dyDescent="0.25">
      <c r="A118" t="s">
        <v>323</v>
      </c>
      <c r="B118" t="s">
        <v>68</v>
      </c>
      <c r="C118" t="s">
        <v>324</v>
      </c>
      <c r="D118" t="s">
        <v>20</v>
      </c>
      <c r="E118" t="s">
        <v>21</v>
      </c>
      <c r="F118">
        <v>2</v>
      </c>
      <c r="G118">
        <v>5000</v>
      </c>
      <c r="H118">
        <v>10000</v>
      </c>
      <c r="I118" t="s">
        <v>22</v>
      </c>
      <c r="J118" t="s">
        <v>28</v>
      </c>
    </row>
    <row r="119" spans="1:10" x14ac:dyDescent="0.25">
      <c r="A119" t="s">
        <v>329</v>
      </c>
      <c r="B119" t="s">
        <v>77</v>
      </c>
      <c r="C119" t="s">
        <v>330</v>
      </c>
      <c r="D119" t="s">
        <v>20</v>
      </c>
      <c r="E119" t="s">
        <v>21</v>
      </c>
      <c r="F119">
        <v>4</v>
      </c>
      <c r="G119">
        <v>5000</v>
      </c>
      <c r="H119">
        <v>20000</v>
      </c>
      <c r="I119" t="s">
        <v>39</v>
      </c>
      <c r="J119" t="s">
        <v>28</v>
      </c>
    </row>
    <row r="120" spans="1:10" x14ac:dyDescent="0.25">
      <c r="A120" t="s">
        <v>341</v>
      </c>
      <c r="B120" t="s">
        <v>95</v>
      </c>
      <c r="C120" t="s">
        <v>342</v>
      </c>
      <c r="D120" t="s">
        <v>20</v>
      </c>
      <c r="E120" t="s">
        <v>21</v>
      </c>
      <c r="F120">
        <v>4</v>
      </c>
      <c r="G120">
        <v>5000</v>
      </c>
      <c r="H120">
        <v>20000</v>
      </c>
      <c r="I120" t="s">
        <v>15</v>
      </c>
      <c r="J120" t="s">
        <v>28</v>
      </c>
    </row>
    <row r="121" spans="1:10" x14ac:dyDescent="0.25">
      <c r="A121" t="s">
        <v>353</v>
      </c>
      <c r="B121" t="s">
        <v>113</v>
      </c>
      <c r="C121" t="s">
        <v>354</v>
      </c>
      <c r="D121" t="s">
        <v>20</v>
      </c>
      <c r="E121" t="s">
        <v>21</v>
      </c>
      <c r="F121">
        <v>3</v>
      </c>
      <c r="G121">
        <v>5000</v>
      </c>
      <c r="H121">
        <v>15000</v>
      </c>
      <c r="I121" t="s">
        <v>54</v>
      </c>
      <c r="J12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AB6E-31A9-4C91-A76B-2158D047CE7C}">
  <sheetPr codeName="Sheet2"/>
  <dimension ref="A3:B9"/>
  <sheetViews>
    <sheetView tabSelected="1" workbookViewId="0">
      <selection activeCell="A7" sqref="A7"/>
    </sheetView>
  </sheetViews>
  <sheetFormatPr defaultRowHeight="15" x14ac:dyDescent="0.25"/>
  <cols>
    <col min="1" max="1" width="13.140625" bestFit="1" customWidth="1"/>
    <col min="2" max="3" width="17" bestFit="1" customWidth="1"/>
    <col min="4" max="91" width="10.42578125" bestFit="1" customWidth="1"/>
    <col min="92" max="92" width="11.42578125" bestFit="1" customWidth="1"/>
  </cols>
  <sheetData>
    <row r="3" spans="1:2" x14ac:dyDescent="0.25">
      <c r="A3" s="3" t="s">
        <v>355</v>
      </c>
      <c r="B3" s="16" t="s">
        <v>363</v>
      </c>
    </row>
    <row r="4" spans="1:2" x14ac:dyDescent="0.25">
      <c r="A4" s="4" t="s">
        <v>47</v>
      </c>
      <c r="B4" s="16">
        <v>22500</v>
      </c>
    </row>
    <row r="5" spans="1:2" x14ac:dyDescent="0.25">
      <c r="A5" s="4" t="s">
        <v>13</v>
      </c>
      <c r="B5" s="16">
        <v>84000</v>
      </c>
    </row>
    <row r="6" spans="1:2" x14ac:dyDescent="0.25">
      <c r="A6" s="4" t="s">
        <v>27</v>
      </c>
      <c r="B6" s="16">
        <v>336000</v>
      </c>
    </row>
    <row r="7" spans="1:2" x14ac:dyDescent="0.25">
      <c r="A7" s="4" t="s">
        <v>32</v>
      </c>
      <c r="B7" s="16">
        <v>176000</v>
      </c>
    </row>
    <row r="8" spans="1:2" x14ac:dyDescent="0.25">
      <c r="A8" s="4" t="s">
        <v>20</v>
      </c>
      <c r="B8" s="16">
        <v>135000</v>
      </c>
    </row>
    <row r="9" spans="1:2" x14ac:dyDescent="0.25">
      <c r="A9" s="4" t="s">
        <v>356</v>
      </c>
      <c r="B9" s="16">
        <v>753500</v>
      </c>
    </row>
  </sheetData>
  <phoneticPr fontId="3" type="noConversion"/>
  <conditionalFormatting sqref="B1:B3 B128:B1048576">
    <cfRule type="top10" dxfId="29" priority="3" rank="1"/>
  </conditionalFormatting>
  <conditionalFormatting sqref="B3">
    <cfRule type="top10" dxfId="28" priority="1" rank="1"/>
  </conditionalFormatting>
  <conditionalFormatting sqref="C1:C3 C128:C1048576">
    <cfRule type="cellIs" dxfId="27" priority="4" operator="greaterThan">
      <formula>1170000</formula>
    </cfRule>
  </conditionalFormatting>
  <conditionalFormatting sqref="C3">
    <cfRule type="top10" dxfId="26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0A74-D2C8-4569-91D6-8CFB50B77DF9}">
  <sheetPr codeName="Sheet3"/>
  <dimension ref="A1"/>
  <sheetViews>
    <sheetView zoomScaleNormal="100" workbookViewId="0">
      <selection activeCell="L22" sqref="L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DB42-60EB-42FE-9756-563900D043CD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7"/>
      <c r="B3" s="8"/>
      <c r="C3" s="9"/>
    </row>
    <row r="4" spans="1:3" x14ac:dyDescent="0.25">
      <c r="A4" s="10"/>
      <c r="B4" s="11"/>
      <c r="C4" s="12"/>
    </row>
    <row r="5" spans="1:3" x14ac:dyDescent="0.25">
      <c r="A5" s="10"/>
      <c r="B5" s="11"/>
      <c r="C5" s="12"/>
    </row>
    <row r="6" spans="1:3" x14ac:dyDescent="0.25">
      <c r="A6" s="10"/>
      <c r="B6" s="11"/>
      <c r="C6" s="12"/>
    </row>
    <row r="7" spans="1:3" x14ac:dyDescent="0.25">
      <c r="A7" s="10"/>
      <c r="B7" s="11"/>
      <c r="C7" s="12"/>
    </row>
    <row r="8" spans="1:3" x14ac:dyDescent="0.25">
      <c r="A8" s="10"/>
      <c r="B8" s="11"/>
      <c r="C8" s="12"/>
    </row>
    <row r="9" spans="1:3" x14ac:dyDescent="0.25">
      <c r="A9" s="10"/>
      <c r="B9" s="11"/>
      <c r="C9" s="12"/>
    </row>
    <row r="10" spans="1:3" x14ac:dyDescent="0.25">
      <c r="A10" s="10"/>
      <c r="B10" s="11"/>
      <c r="C10" s="12"/>
    </row>
    <row r="11" spans="1:3" x14ac:dyDescent="0.25">
      <c r="A11" s="10"/>
      <c r="B11" s="11"/>
      <c r="C11" s="12"/>
    </row>
    <row r="12" spans="1:3" x14ac:dyDescent="0.25">
      <c r="A12" s="10"/>
      <c r="B12" s="11"/>
      <c r="C12" s="12"/>
    </row>
    <row r="13" spans="1:3" x14ac:dyDescent="0.25">
      <c r="A13" s="10"/>
      <c r="B13" s="11"/>
      <c r="C13" s="12"/>
    </row>
    <row r="14" spans="1:3" x14ac:dyDescent="0.25">
      <c r="A14" s="10"/>
      <c r="B14" s="11"/>
      <c r="C14" s="12"/>
    </row>
    <row r="15" spans="1:3" x14ac:dyDescent="0.25">
      <c r="A15" s="10"/>
      <c r="B15" s="11"/>
      <c r="C15" s="12"/>
    </row>
    <row r="16" spans="1:3" x14ac:dyDescent="0.25">
      <c r="A16" s="10"/>
      <c r="B16" s="11"/>
      <c r="C16" s="12"/>
    </row>
    <row r="17" spans="1:3" x14ac:dyDescent="0.25">
      <c r="A17" s="10"/>
      <c r="B17" s="11"/>
      <c r="C17" s="12"/>
    </row>
    <row r="18" spans="1:3" x14ac:dyDescent="0.25">
      <c r="A18" s="10"/>
      <c r="B18" s="11"/>
      <c r="C18" s="12"/>
    </row>
    <row r="19" spans="1:3" x14ac:dyDescent="0.25">
      <c r="A19" s="10"/>
      <c r="B19" s="11"/>
      <c r="C19" s="12"/>
    </row>
    <row r="20" spans="1:3" x14ac:dyDescent="0.25">
      <c r="A20" s="13"/>
      <c r="B20" s="14"/>
      <c r="C2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1"/>
  <sheetViews>
    <sheetView workbookViewId="0">
      <pane ySplit="1" topLeftCell="A10" activePane="bottomLeft" state="frozen"/>
      <selection pane="bottomLeft" activeCell="B1" sqref="A1:XFD1048576"/>
    </sheetView>
  </sheetViews>
  <sheetFormatPr defaultRowHeight="15" x14ac:dyDescent="0.25"/>
  <cols>
    <col min="1" max="1" width="16.85546875" customWidth="1"/>
    <col min="2" max="2" width="14.7109375" customWidth="1"/>
    <col min="3" max="3" width="16.140625" customWidth="1"/>
    <col min="4" max="4" width="15.28515625" customWidth="1"/>
    <col min="5" max="5" width="15.42578125" customWidth="1"/>
    <col min="6" max="6" width="12.42578125" customWidth="1"/>
    <col min="7" max="7" width="17.7109375" customWidth="1"/>
    <col min="8" max="8" width="15.7109375" customWidth="1"/>
    <col min="9" max="9" width="17.7109375" customWidth="1"/>
    <col min="10" max="10" width="19.5703125" customWidth="1"/>
    <col min="13" max="13" width="34.140625" customWidth="1"/>
    <col min="14" max="16" width="11" customWidth="1"/>
  </cols>
  <sheetData>
    <row r="1" spans="1:14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3000</v>
      </c>
      <c r="H2">
        <v>9000</v>
      </c>
      <c r="I2" t="s">
        <v>15</v>
      </c>
      <c r="J2" t="s">
        <v>16</v>
      </c>
    </row>
    <row r="3" spans="1:14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5</v>
      </c>
      <c r="G3">
        <v>5000</v>
      </c>
      <c r="H3">
        <v>25000</v>
      </c>
      <c r="I3" t="s">
        <v>22</v>
      </c>
      <c r="J3" t="s">
        <v>23</v>
      </c>
    </row>
    <row r="4" spans="1:14" x14ac:dyDescent="0.25">
      <c r="A4" t="s">
        <v>24</v>
      </c>
      <c r="B4" t="s">
        <v>25</v>
      </c>
      <c r="C4" t="s">
        <v>26</v>
      </c>
      <c r="D4" t="s">
        <v>27</v>
      </c>
      <c r="E4" t="s">
        <v>21</v>
      </c>
      <c r="F4">
        <v>3</v>
      </c>
      <c r="G4">
        <v>12000</v>
      </c>
      <c r="H4">
        <v>36000</v>
      </c>
      <c r="I4" t="s">
        <v>15</v>
      </c>
      <c r="J4" t="s">
        <v>28</v>
      </c>
    </row>
    <row r="5" spans="1:14" x14ac:dyDescent="0.25">
      <c r="A5" t="s">
        <v>29</v>
      </c>
      <c r="B5" t="s">
        <v>30</v>
      </c>
      <c r="C5" t="s">
        <v>31</v>
      </c>
      <c r="D5" t="s">
        <v>32</v>
      </c>
      <c r="E5" t="s">
        <v>21</v>
      </c>
      <c r="F5">
        <v>1</v>
      </c>
      <c r="G5">
        <v>8000</v>
      </c>
      <c r="H5">
        <v>8000</v>
      </c>
      <c r="I5" t="s">
        <v>15</v>
      </c>
      <c r="J5" t="s">
        <v>23</v>
      </c>
    </row>
    <row r="6" spans="1:14" x14ac:dyDescent="0.25">
      <c r="A6" t="s">
        <v>33</v>
      </c>
      <c r="B6" t="s">
        <v>34</v>
      </c>
      <c r="C6" t="s">
        <v>35</v>
      </c>
      <c r="D6" t="s">
        <v>20</v>
      </c>
      <c r="E6" t="s">
        <v>21</v>
      </c>
      <c r="F6">
        <v>2</v>
      </c>
      <c r="G6">
        <v>5000</v>
      </c>
      <c r="H6">
        <v>10000</v>
      </c>
      <c r="I6" t="s">
        <v>15</v>
      </c>
      <c r="J6" t="s">
        <v>28</v>
      </c>
    </row>
    <row r="7" spans="1:14" x14ac:dyDescent="0.25">
      <c r="A7" t="s">
        <v>36</v>
      </c>
      <c r="B7" t="s">
        <v>37</v>
      </c>
      <c r="C7" t="s">
        <v>38</v>
      </c>
      <c r="D7" t="s">
        <v>27</v>
      </c>
      <c r="E7" t="s">
        <v>21</v>
      </c>
      <c r="F7">
        <v>5</v>
      </c>
      <c r="G7">
        <v>12000</v>
      </c>
      <c r="H7">
        <v>60000</v>
      </c>
      <c r="I7" t="s">
        <v>39</v>
      </c>
      <c r="J7" t="s">
        <v>23</v>
      </c>
    </row>
    <row r="8" spans="1:14" x14ac:dyDescent="0.25">
      <c r="A8" t="s">
        <v>40</v>
      </c>
      <c r="B8" t="s">
        <v>41</v>
      </c>
      <c r="C8" t="s">
        <v>42</v>
      </c>
      <c r="D8" t="s">
        <v>32</v>
      </c>
      <c r="E8" t="s">
        <v>21</v>
      </c>
      <c r="F8">
        <v>1</v>
      </c>
      <c r="G8">
        <v>8000</v>
      </c>
      <c r="H8">
        <v>8000</v>
      </c>
      <c r="I8" t="s">
        <v>22</v>
      </c>
      <c r="J8" t="s">
        <v>43</v>
      </c>
    </row>
    <row r="9" spans="1:14" x14ac:dyDescent="0.25">
      <c r="A9" t="s">
        <v>44</v>
      </c>
      <c r="B9" t="s">
        <v>45</v>
      </c>
      <c r="C9" t="s">
        <v>46</v>
      </c>
      <c r="D9" t="s">
        <v>47</v>
      </c>
      <c r="E9" t="s">
        <v>14</v>
      </c>
      <c r="F9">
        <v>1</v>
      </c>
      <c r="G9">
        <v>1500</v>
      </c>
      <c r="H9">
        <v>1500</v>
      </c>
      <c r="I9" t="s">
        <v>39</v>
      </c>
      <c r="J9" t="s">
        <v>23</v>
      </c>
    </row>
    <row r="10" spans="1:14" x14ac:dyDescent="0.25">
      <c r="A10" t="s">
        <v>48</v>
      </c>
      <c r="B10" t="s">
        <v>49</v>
      </c>
      <c r="C10" t="s">
        <v>50</v>
      </c>
      <c r="D10" t="s">
        <v>32</v>
      </c>
      <c r="E10" t="s">
        <v>21</v>
      </c>
      <c r="F10">
        <v>5</v>
      </c>
      <c r="G10">
        <v>8000</v>
      </c>
      <c r="H10">
        <v>40000</v>
      </c>
      <c r="I10" t="s">
        <v>15</v>
      </c>
      <c r="J10" t="s">
        <v>43</v>
      </c>
    </row>
    <row r="11" spans="1:14" x14ac:dyDescent="0.25">
      <c r="A11" t="s">
        <v>51</v>
      </c>
      <c r="B11" t="s">
        <v>52</v>
      </c>
      <c r="C11" t="s">
        <v>53</v>
      </c>
      <c r="D11" t="s">
        <v>20</v>
      </c>
      <c r="E11" t="s">
        <v>21</v>
      </c>
      <c r="F11">
        <v>1</v>
      </c>
      <c r="G11">
        <v>5000</v>
      </c>
      <c r="H11">
        <v>5000</v>
      </c>
      <c r="I11" t="s">
        <v>54</v>
      </c>
      <c r="J11" t="s">
        <v>23</v>
      </c>
    </row>
    <row r="12" spans="1:14" x14ac:dyDescent="0.25">
      <c r="A12" t="s">
        <v>55</v>
      </c>
      <c r="B12" t="s">
        <v>56</v>
      </c>
      <c r="C12" t="s">
        <v>57</v>
      </c>
      <c r="D12" t="s">
        <v>20</v>
      </c>
      <c r="E12" t="s">
        <v>21</v>
      </c>
      <c r="F12">
        <v>2</v>
      </c>
      <c r="G12">
        <v>5000</v>
      </c>
      <c r="H12">
        <v>10000</v>
      </c>
      <c r="I12" t="s">
        <v>54</v>
      </c>
      <c r="J12" t="s">
        <v>28</v>
      </c>
    </row>
    <row r="13" spans="1:14" x14ac:dyDescent="0.25">
      <c r="A13" t="s">
        <v>58</v>
      </c>
      <c r="B13" t="s">
        <v>59</v>
      </c>
      <c r="C13" t="s">
        <v>60</v>
      </c>
      <c r="D13" t="s">
        <v>47</v>
      </c>
      <c r="E13" t="s">
        <v>14</v>
      </c>
      <c r="F13">
        <v>3</v>
      </c>
      <c r="G13">
        <v>1500</v>
      </c>
      <c r="H13">
        <v>4500</v>
      </c>
      <c r="I13" t="s">
        <v>22</v>
      </c>
      <c r="J13" t="s">
        <v>28</v>
      </c>
    </row>
    <row r="14" spans="1:14" x14ac:dyDescent="0.25">
      <c r="A14" t="s">
        <v>61</v>
      </c>
      <c r="B14" t="s">
        <v>62</v>
      </c>
      <c r="C14" t="s">
        <v>63</v>
      </c>
      <c r="D14" t="s">
        <v>20</v>
      </c>
      <c r="E14" t="s">
        <v>21</v>
      </c>
      <c r="F14">
        <v>3</v>
      </c>
      <c r="G14">
        <v>5000</v>
      </c>
      <c r="H14">
        <v>15000</v>
      </c>
      <c r="I14" t="s">
        <v>22</v>
      </c>
      <c r="J14" t="s">
        <v>28</v>
      </c>
      <c r="M14" t="s">
        <v>358</v>
      </c>
      <c r="N14" s="5" t="s">
        <v>357</v>
      </c>
    </row>
    <row r="15" spans="1:14" x14ac:dyDescent="0.25">
      <c r="A15" t="s">
        <v>64</v>
      </c>
      <c r="B15" t="s">
        <v>65</v>
      </c>
      <c r="C15" t="s">
        <v>66</v>
      </c>
      <c r="D15" t="s">
        <v>27</v>
      </c>
      <c r="E15" t="s">
        <v>21</v>
      </c>
      <c r="F15">
        <v>2</v>
      </c>
      <c r="G15">
        <v>12000</v>
      </c>
      <c r="H15">
        <v>24000</v>
      </c>
      <c r="I15" t="s">
        <v>54</v>
      </c>
      <c r="J15" t="s">
        <v>16</v>
      </c>
      <c r="M15" t="s">
        <v>359</v>
      </c>
      <c r="N15" s="5">
        <f t="shared" ref="N15" si="0">SUMIF(D1:D120,"Phone",H1:H120)</f>
        <v>480000</v>
      </c>
    </row>
    <row r="16" spans="1:14" x14ac:dyDescent="0.25">
      <c r="A16" t="s">
        <v>67</v>
      </c>
      <c r="B16" t="s">
        <v>68</v>
      </c>
      <c r="C16" t="s">
        <v>69</v>
      </c>
      <c r="D16" t="s">
        <v>13</v>
      </c>
      <c r="E16" t="s">
        <v>14</v>
      </c>
      <c r="F16">
        <v>3</v>
      </c>
      <c r="G16">
        <v>3000</v>
      </c>
      <c r="H16">
        <v>9000</v>
      </c>
      <c r="I16" t="s">
        <v>54</v>
      </c>
      <c r="J16" t="s">
        <v>23</v>
      </c>
      <c r="M16" t="s">
        <v>360</v>
      </c>
      <c r="N16" s="5"/>
    </row>
    <row r="17" spans="1:14" x14ac:dyDescent="0.25">
      <c r="A17" t="s">
        <v>70</v>
      </c>
      <c r="B17" t="s">
        <v>71</v>
      </c>
      <c r="C17" t="s">
        <v>72</v>
      </c>
      <c r="D17" t="s">
        <v>13</v>
      </c>
      <c r="E17" t="s">
        <v>14</v>
      </c>
      <c r="F17">
        <v>4</v>
      </c>
      <c r="G17">
        <v>3000</v>
      </c>
      <c r="H17">
        <v>12000</v>
      </c>
      <c r="I17" t="s">
        <v>39</v>
      </c>
      <c r="J17" t="s">
        <v>28</v>
      </c>
      <c r="M17" t="s">
        <v>361</v>
      </c>
      <c r="N17" s="5">
        <f>SUMIF(D2:D121,"Phone",H2:H121)</f>
        <v>480000</v>
      </c>
    </row>
    <row r="18" spans="1:14" x14ac:dyDescent="0.25">
      <c r="A18" t="s">
        <v>73</v>
      </c>
      <c r="B18" t="s">
        <v>74</v>
      </c>
      <c r="C18" t="s">
        <v>75</v>
      </c>
      <c r="D18" t="s">
        <v>32</v>
      </c>
      <c r="E18" t="s">
        <v>21</v>
      </c>
      <c r="F18">
        <v>3</v>
      </c>
      <c r="G18">
        <v>8000</v>
      </c>
      <c r="H18">
        <v>24000</v>
      </c>
      <c r="I18" t="s">
        <v>54</v>
      </c>
      <c r="J18" t="s">
        <v>28</v>
      </c>
      <c r="M18" t="s">
        <v>20</v>
      </c>
      <c r="N18" s="5">
        <f>SUMIF(D2:D121,"Tablet", H2:H121)</f>
        <v>360000</v>
      </c>
    </row>
    <row r="19" spans="1:14" x14ac:dyDescent="0.25">
      <c r="A19" t="s">
        <v>76</v>
      </c>
      <c r="B19" t="s">
        <v>77</v>
      </c>
      <c r="C19" t="s">
        <v>78</v>
      </c>
      <c r="D19" t="s">
        <v>13</v>
      </c>
      <c r="E19" t="s">
        <v>14</v>
      </c>
      <c r="F19">
        <v>5</v>
      </c>
      <c r="G19">
        <v>3000</v>
      </c>
      <c r="H19">
        <v>15000</v>
      </c>
      <c r="I19" t="s">
        <v>15</v>
      </c>
      <c r="J19" t="s">
        <v>16</v>
      </c>
      <c r="M19" t="s">
        <v>47</v>
      </c>
      <c r="N19" s="5">
        <f>SUMIF(D2:D121,"Chair",H2:H121)</f>
        <v>52500</v>
      </c>
    </row>
    <row r="20" spans="1:14" x14ac:dyDescent="0.25">
      <c r="A20" t="s">
        <v>79</v>
      </c>
      <c r="B20" t="s">
        <v>80</v>
      </c>
      <c r="C20" t="s">
        <v>81</v>
      </c>
      <c r="D20" t="s">
        <v>20</v>
      </c>
      <c r="E20" t="s">
        <v>21</v>
      </c>
      <c r="F20">
        <v>3</v>
      </c>
      <c r="G20">
        <v>5000</v>
      </c>
      <c r="H20">
        <v>15000</v>
      </c>
      <c r="I20" t="s">
        <v>22</v>
      </c>
      <c r="J20" t="s">
        <v>23</v>
      </c>
      <c r="M20" t="s">
        <v>13</v>
      </c>
      <c r="N20" s="5">
        <f>SUMIF(D2:D121,"Desk",H2:H121)</f>
        <v>255000</v>
      </c>
    </row>
    <row r="21" spans="1:14" x14ac:dyDescent="0.25">
      <c r="A21" t="s">
        <v>82</v>
      </c>
      <c r="B21" t="s">
        <v>83</v>
      </c>
      <c r="C21" t="s">
        <v>84</v>
      </c>
      <c r="D21" t="s">
        <v>27</v>
      </c>
      <c r="E21" t="s">
        <v>21</v>
      </c>
      <c r="F21">
        <v>3</v>
      </c>
      <c r="G21">
        <v>12000</v>
      </c>
      <c r="H21">
        <v>36000</v>
      </c>
      <c r="I21" t="s">
        <v>15</v>
      </c>
      <c r="J21" t="s">
        <v>28</v>
      </c>
      <c r="M21" t="s">
        <v>27</v>
      </c>
      <c r="N21" s="5">
        <f>SUMIF(D2:D121,"Laptop",H2:H121)</f>
        <v>1140000</v>
      </c>
    </row>
    <row r="22" spans="1:14" x14ac:dyDescent="0.25">
      <c r="A22" t="s">
        <v>85</v>
      </c>
      <c r="B22" t="s">
        <v>86</v>
      </c>
      <c r="C22" t="s">
        <v>87</v>
      </c>
      <c r="D22" t="s">
        <v>32</v>
      </c>
      <c r="E22" t="s">
        <v>21</v>
      </c>
      <c r="F22">
        <v>5</v>
      </c>
      <c r="G22">
        <v>8000</v>
      </c>
      <c r="H22">
        <v>40000</v>
      </c>
      <c r="I22" t="s">
        <v>22</v>
      </c>
      <c r="J22" t="s">
        <v>16</v>
      </c>
      <c r="M22" s="1" t="s">
        <v>362</v>
      </c>
      <c r="N22" s="6">
        <f>SUM(N17:N21)</f>
        <v>2287500</v>
      </c>
    </row>
    <row r="23" spans="1:14" x14ac:dyDescent="0.25">
      <c r="A23" t="s">
        <v>88</v>
      </c>
      <c r="B23" t="s">
        <v>89</v>
      </c>
      <c r="C23" t="s">
        <v>90</v>
      </c>
      <c r="D23" t="s">
        <v>20</v>
      </c>
      <c r="E23" t="s">
        <v>21</v>
      </c>
      <c r="F23">
        <v>3</v>
      </c>
      <c r="G23">
        <v>5000</v>
      </c>
      <c r="H23">
        <v>15000</v>
      </c>
      <c r="I23" t="s">
        <v>39</v>
      </c>
      <c r="J23" t="s">
        <v>23</v>
      </c>
    </row>
    <row r="24" spans="1:14" x14ac:dyDescent="0.25">
      <c r="A24" t="s">
        <v>91</v>
      </c>
      <c r="B24" t="s">
        <v>92</v>
      </c>
      <c r="C24" t="s">
        <v>93</v>
      </c>
      <c r="D24" t="s">
        <v>32</v>
      </c>
      <c r="E24" t="s">
        <v>21</v>
      </c>
      <c r="F24">
        <v>4</v>
      </c>
      <c r="G24">
        <v>8000</v>
      </c>
      <c r="H24">
        <v>32000</v>
      </c>
      <c r="I24" t="s">
        <v>15</v>
      </c>
      <c r="J24" t="s">
        <v>16</v>
      </c>
    </row>
    <row r="25" spans="1:14" x14ac:dyDescent="0.25">
      <c r="A25" t="s">
        <v>94</v>
      </c>
      <c r="B25" t="s">
        <v>95</v>
      </c>
      <c r="C25" t="s">
        <v>96</v>
      </c>
      <c r="D25" t="s">
        <v>13</v>
      </c>
      <c r="E25" t="s">
        <v>14</v>
      </c>
      <c r="F25">
        <v>5</v>
      </c>
      <c r="G25">
        <v>3000</v>
      </c>
      <c r="H25">
        <v>15000</v>
      </c>
      <c r="I25" t="s">
        <v>54</v>
      </c>
      <c r="J25" t="s">
        <v>43</v>
      </c>
    </row>
    <row r="26" spans="1:14" x14ac:dyDescent="0.25">
      <c r="A26" t="s">
        <v>97</v>
      </c>
      <c r="B26" t="s">
        <v>98</v>
      </c>
      <c r="C26" t="s">
        <v>99</v>
      </c>
      <c r="D26" t="s">
        <v>32</v>
      </c>
      <c r="E26" t="s">
        <v>21</v>
      </c>
      <c r="F26">
        <v>2</v>
      </c>
      <c r="G26">
        <v>8000</v>
      </c>
      <c r="H26">
        <v>16000</v>
      </c>
      <c r="I26" t="s">
        <v>22</v>
      </c>
      <c r="J26" t="s">
        <v>43</v>
      </c>
    </row>
    <row r="27" spans="1:14" x14ac:dyDescent="0.25">
      <c r="A27" t="s">
        <v>100</v>
      </c>
      <c r="B27" t="s">
        <v>101</v>
      </c>
      <c r="C27" t="s">
        <v>102</v>
      </c>
      <c r="D27" t="s">
        <v>13</v>
      </c>
      <c r="E27" t="s">
        <v>14</v>
      </c>
      <c r="F27">
        <v>1</v>
      </c>
      <c r="G27">
        <v>3000</v>
      </c>
      <c r="H27">
        <v>3000</v>
      </c>
      <c r="I27" t="s">
        <v>54</v>
      </c>
      <c r="J27" t="s">
        <v>23</v>
      </c>
    </row>
    <row r="28" spans="1:14" x14ac:dyDescent="0.25">
      <c r="A28" t="s">
        <v>103</v>
      </c>
      <c r="B28" t="s">
        <v>104</v>
      </c>
      <c r="C28" t="s">
        <v>105</v>
      </c>
      <c r="D28" t="s">
        <v>47</v>
      </c>
      <c r="E28" t="s">
        <v>14</v>
      </c>
      <c r="F28">
        <v>4</v>
      </c>
      <c r="G28">
        <v>1500</v>
      </c>
      <c r="H28">
        <v>6000</v>
      </c>
      <c r="I28" t="s">
        <v>22</v>
      </c>
      <c r="J28" t="s">
        <v>28</v>
      </c>
    </row>
    <row r="29" spans="1:14" x14ac:dyDescent="0.25">
      <c r="A29" t="s">
        <v>106</v>
      </c>
      <c r="B29" t="s">
        <v>107</v>
      </c>
      <c r="C29" t="s">
        <v>108</v>
      </c>
      <c r="D29" t="s">
        <v>13</v>
      </c>
      <c r="E29" t="s">
        <v>14</v>
      </c>
      <c r="F29">
        <v>4</v>
      </c>
      <c r="G29">
        <v>3000</v>
      </c>
      <c r="H29">
        <v>12000</v>
      </c>
      <c r="I29" t="s">
        <v>15</v>
      </c>
      <c r="J29" t="s">
        <v>43</v>
      </c>
    </row>
    <row r="30" spans="1:14" x14ac:dyDescent="0.25">
      <c r="A30" t="s">
        <v>109</v>
      </c>
      <c r="B30" t="s">
        <v>110</v>
      </c>
      <c r="C30" t="s">
        <v>111</v>
      </c>
      <c r="D30" t="s">
        <v>47</v>
      </c>
      <c r="E30" t="s">
        <v>14</v>
      </c>
      <c r="F30">
        <v>5</v>
      </c>
      <c r="G30">
        <v>1500</v>
      </c>
      <c r="H30">
        <v>7500</v>
      </c>
      <c r="I30" t="s">
        <v>15</v>
      </c>
      <c r="J30" t="s">
        <v>43</v>
      </c>
    </row>
    <row r="31" spans="1:14" x14ac:dyDescent="0.25">
      <c r="A31" t="s">
        <v>112</v>
      </c>
      <c r="B31" t="s">
        <v>113</v>
      </c>
      <c r="C31" t="s">
        <v>114</v>
      </c>
      <c r="D31" t="s">
        <v>27</v>
      </c>
      <c r="E31" t="s">
        <v>21</v>
      </c>
      <c r="F31">
        <v>2</v>
      </c>
      <c r="G31">
        <v>12000</v>
      </c>
      <c r="H31">
        <v>24000</v>
      </c>
      <c r="I31" t="s">
        <v>54</v>
      </c>
      <c r="J31" t="s">
        <v>28</v>
      </c>
    </row>
    <row r="32" spans="1:14" x14ac:dyDescent="0.25">
      <c r="A32" t="s">
        <v>115</v>
      </c>
      <c r="B32" t="s">
        <v>116</v>
      </c>
      <c r="C32" t="s">
        <v>117</v>
      </c>
      <c r="D32" t="s">
        <v>13</v>
      </c>
      <c r="E32" t="s">
        <v>14</v>
      </c>
      <c r="F32">
        <v>3</v>
      </c>
      <c r="G32">
        <v>3000</v>
      </c>
      <c r="H32">
        <v>9000</v>
      </c>
      <c r="I32" t="s">
        <v>22</v>
      </c>
      <c r="J32" t="s">
        <v>43</v>
      </c>
    </row>
    <row r="33" spans="1:10" x14ac:dyDescent="0.25">
      <c r="A33" t="s">
        <v>118</v>
      </c>
      <c r="B33" t="s">
        <v>119</v>
      </c>
      <c r="C33" t="s">
        <v>120</v>
      </c>
      <c r="D33" t="s">
        <v>20</v>
      </c>
      <c r="E33" t="s">
        <v>21</v>
      </c>
      <c r="F33">
        <v>3</v>
      </c>
      <c r="G33">
        <v>5000</v>
      </c>
      <c r="H33">
        <v>15000</v>
      </c>
      <c r="I33" t="s">
        <v>22</v>
      </c>
      <c r="J33" t="s">
        <v>43</v>
      </c>
    </row>
    <row r="34" spans="1:10" x14ac:dyDescent="0.25">
      <c r="A34" t="s">
        <v>121</v>
      </c>
      <c r="B34" t="s">
        <v>122</v>
      </c>
      <c r="C34" t="s">
        <v>123</v>
      </c>
      <c r="D34" t="s">
        <v>13</v>
      </c>
      <c r="E34" t="s">
        <v>14</v>
      </c>
      <c r="F34">
        <v>1</v>
      </c>
      <c r="G34">
        <v>3000</v>
      </c>
      <c r="H34">
        <v>3000</v>
      </c>
      <c r="I34" t="s">
        <v>15</v>
      </c>
      <c r="J34" t="s">
        <v>16</v>
      </c>
    </row>
    <row r="35" spans="1:10" x14ac:dyDescent="0.25">
      <c r="A35" t="s">
        <v>124</v>
      </c>
      <c r="B35" t="s">
        <v>125</v>
      </c>
      <c r="C35" t="s">
        <v>126</v>
      </c>
      <c r="D35" t="s">
        <v>13</v>
      </c>
      <c r="E35" t="s">
        <v>14</v>
      </c>
      <c r="F35">
        <v>1</v>
      </c>
      <c r="G35">
        <v>3000</v>
      </c>
      <c r="H35">
        <v>3000</v>
      </c>
      <c r="I35" t="s">
        <v>39</v>
      </c>
      <c r="J35" t="s">
        <v>43</v>
      </c>
    </row>
    <row r="36" spans="1:10" x14ac:dyDescent="0.25">
      <c r="A36" t="s">
        <v>127</v>
      </c>
      <c r="B36" t="s">
        <v>128</v>
      </c>
      <c r="C36" t="s">
        <v>129</v>
      </c>
      <c r="D36" t="s">
        <v>27</v>
      </c>
      <c r="E36" t="s">
        <v>21</v>
      </c>
      <c r="F36">
        <v>5</v>
      </c>
      <c r="G36">
        <v>12000</v>
      </c>
      <c r="H36">
        <v>60000</v>
      </c>
      <c r="I36" t="s">
        <v>22</v>
      </c>
      <c r="J36" t="s">
        <v>23</v>
      </c>
    </row>
    <row r="37" spans="1:10" x14ac:dyDescent="0.25">
      <c r="A37" t="s">
        <v>130</v>
      </c>
      <c r="B37" t="s">
        <v>131</v>
      </c>
      <c r="C37" t="s">
        <v>132</v>
      </c>
      <c r="D37" t="s">
        <v>13</v>
      </c>
      <c r="E37" t="s">
        <v>14</v>
      </c>
      <c r="F37">
        <v>2</v>
      </c>
      <c r="G37">
        <v>3000</v>
      </c>
      <c r="H37">
        <v>6000</v>
      </c>
      <c r="I37" t="s">
        <v>15</v>
      </c>
      <c r="J37" t="s">
        <v>23</v>
      </c>
    </row>
    <row r="38" spans="1:10" x14ac:dyDescent="0.25">
      <c r="A38" t="s">
        <v>133</v>
      </c>
      <c r="B38" t="s">
        <v>134</v>
      </c>
      <c r="C38" t="s">
        <v>135</v>
      </c>
      <c r="D38" t="s">
        <v>20</v>
      </c>
      <c r="E38" t="s">
        <v>21</v>
      </c>
      <c r="F38">
        <v>5</v>
      </c>
      <c r="G38">
        <v>5000</v>
      </c>
      <c r="H38">
        <v>25000</v>
      </c>
      <c r="I38" t="s">
        <v>22</v>
      </c>
      <c r="J38" t="s">
        <v>43</v>
      </c>
    </row>
    <row r="39" spans="1:10" x14ac:dyDescent="0.25">
      <c r="A39" t="s">
        <v>136</v>
      </c>
      <c r="B39" t="s">
        <v>137</v>
      </c>
      <c r="C39" t="s">
        <v>138</v>
      </c>
      <c r="D39" t="s">
        <v>32</v>
      </c>
      <c r="E39" t="s">
        <v>21</v>
      </c>
      <c r="F39">
        <v>1</v>
      </c>
      <c r="G39">
        <v>8000</v>
      </c>
      <c r="H39">
        <v>8000</v>
      </c>
      <c r="I39" t="s">
        <v>15</v>
      </c>
      <c r="J39" t="s">
        <v>28</v>
      </c>
    </row>
    <row r="40" spans="1:10" x14ac:dyDescent="0.25">
      <c r="A40" t="s">
        <v>139</v>
      </c>
      <c r="B40" t="s">
        <v>140</v>
      </c>
      <c r="C40" t="s">
        <v>141</v>
      </c>
      <c r="D40" t="s">
        <v>27</v>
      </c>
      <c r="E40" t="s">
        <v>21</v>
      </c>
      <c r="F40">
        <v>3</v>
      </c>
      <c r="G40">
        <v>12000</v>
      </c>
      <c r="H40">
        <v>36000</v>
      </c>
      <c r="I40" t="s">
        <v>15</v>
      </c>
      <c r="J40" t="s">
        <v>23</v>
      </c>
    </row>
    <row r="41" spans="1:10" x14ac:dyDescent="0.25">
      <c r="A41" t="s">
        <v>142</v>
      </c>
      <c r="B41" t="s">
        <v>143</v>
      </c>
      <c r="C41" t="s">
        <v>144</v>
      </c>
      <c r="D41" t="s">
        <v>47</v>
      </c>
      <c r="E41" t="s">
        <v>14</v>
      </c>
      <c r="F41">
        <v>4</v>
      </c>
      <c r="G41">
        <v>1500</v>
      </c>
      <c r="H41">
        <v>6000</v>
      </c>
      <c r="I41" t="s">
        <v>54</v>
      </c>
      <c r="J41" t="s">
        <v>28</v>
      </c>
    </row>
    <row r="42" spans="1:10" x14ac:dyDescent="0.25">
      <c r="A42" t="s">
        <v>145</v>
      </c>
      <c r="B42" t="s">
        <v>146</v>
      </c>
      <c r="C42" t="s">
        <v>147</v>
      </c>
      <c r="D42" t="s">
        <v>13</v>
      </c>
      <c r="E42" t="s">
        <v>14</v>
      </c>
      <c r="F42">
        <v>2</v>
      </c>
      <c r="G42">
        <v>3000</v>
      </c>
      <c r="H42">
        <v>6000</v>
      </c>
      <c r="I42" t="s">
        <v>15</v>
      </c>
      <c r="J42" t="s">
        <v>28</v>
      </c>
    </row>
    <row r="43" spans="1:10" x14ac:dyDescent="0.25">
      <c r="A43" t="s">
        <v>148</v>
      </c>
      <c r="B43" t="s">
        <v>149</v>
      </c>
      <c r="C43" t="s">
        <v>150</v>
      </c>
      <c r="D43" t="s">
        <v>47</v>
      </c>
      <c r="E43" t="s">
        <v>14</v>
      </c>
      <c r="F43">
        <v>2</v>
      </c>
      <c r="G43">
        <v>1500</v>
      </c>
      <c r="H43">
        <v>3000</v>
      </c>
      <c r="I43" t="s">
        <v>15</v>
      </c>
      <c r="J43" t="s">
        <v>23</v>
      </c>
    </row>
    <row r="44" spans="1:10" x14ac:dyDescent="0.25">
      <c r="A44" t="s">
        <v>151</v>
      </c>
      <c r="B44" t="s">
        <v>152</v>
      </c>
      <c r="C44" t="s">
        <v>153</v>
      </c>
      <c r="D44" t="s">
        <v>13</v>
      </c>
      <c r="E44" t="s">
        <v>14</v>
      </c>
      <c r="F44">
        <v>2</v>
      </c>
      <c r="G44">
        <v>3000</v>
      </c>
      <c r="H44">
        <v>6000</v>
      </c>
      <c r="I44" t="s">
        <v>15</v>
      </c>
      <c r="J44" t="s">
        <v>23</v>
      </c>
    </row>
    <row r="45" spans="1:10" x14ac:dyDescent="0.25">
      <c r="A45" t="s">
        <v>154</v>
      </c>
      <c r="B45" t="s">
        <v>155</v>
      </c>
      <c r="C45" t="s">
        <v>156</v>
      </c>
      <c r="D45" t="s">
        <v>32</v>
      </c>
      <c r="E45" t="s">
        <v>21</v>
      </c>
      <c r="F45">
        <v>2</v>
      </c>
      <c r="G45">
        <v>8000</v>
      </c>
      <c r="H45">
        <v>16000</v>
      </c>
      <c r="I45" t="s">
        <v>22</v>
      </c>
      <c r="J45" t="s">
        <v>16</v>
      </c>
    </row>
    <row r="46" spans="1:10" x14ac:dyDescent="0.25">
      <c r="A46" t="s">
        <v>157</v>
      </c>
      <c r="B46" t="s">
        <v>158</v>
      </c>
      <c r="C46" t="s">
        <v>159</v>
      </c>
      <c r="D46" t="s">
        <v>27</v>
      </c>
      <c r="E46" t="s">
        <v>21</v>
      </c>
      <c r="F46">
        <v>4</v>
      </c>
      <c r="G46">
        <v>12000</v>
      </c>
      <c r="H46">
        <v>48000</v>
      </c>
      <c r="I46" t="s">
        <v>39</v>
      </c>
      <c r="J46" t="s">
        <v>28</v>
      </c>
    </row>
    <row r="47" spans="1:10" x14ac:dyDescent="0.25">
      <c r="A47" t="s">
        <v>160</v>
      </c>
      <c r="B47" t="s">
        <v>161</v>
      </c>
      <c r="C47" t="s">
        <v>162</v>
      </c>
      <c r="D47" t="s">
        <v>20</v>
      </c>
      <c r="E47" t="s">
        <v>21</v>
      </c>
      <c r="F47">
        <v>5</v>
      </c>
      <c r="G47">
        <v>5000</v>
      </c>
      <c r="H47">
        <v>25000</v>
      </c>
      <c r="I47" t="s">
        <v>15</v>
      </c>
      <c r="J47" t="s">
        <v>28</v>
      </c>
    </row>
    <row r="48" spans="1:10" x14ac:dyDescent="0.25">
      <c r="A48" t="s">
        <v>163</v>
      </c>
      <c r="B48" t="s">
        <v>164</v>
      </c>
      <c r="C48" t="s">
        <v>165</v>
      </c>
      <c r="D48" t="s">
        <v>27</v>
      </c>
      <c r="E48" t="s">
        <v>21</v>
      </c>
      <c r="F48">
        <v>5</v>
      </c>
      <c r="G48">
        <v>12000</v>
      </c>
      <c r="H48">
        <v>60000</v>
      </c>
      <c r="I48" t="s">
        <v>39</v>
      </c>
      <c r="J48" t="s">
        <v>23</v>
      </c>
    </row>
    <row r="49" spans="1:10" x14ac:dyDescent="0.25">
      <c r="A49" t="s">
        <v>166</v>
      </c>
      <c r="B49" t="s">
        <v>167</v>
      </c>
      <c r="C49" t="s">
        <v>168</v>
      </c>
      <c r="D49" t="s">
        <v>20</v>
      </c>
      <c r="E49" t="s">
        <v>21</v>
      </c>
      <c r="F49">
        <v>2</v>
      </c>
      <c r="G49">
        <v>5000</v>
      </c>
      <c r="H49">
        <v>10000</v>
      </c>
      <c r="I49" t="s">
        <v>15</v>
      </c>
      <c r="J49" t="s">
        <v>43</v>
      </c>
    </row>
    <row r="50" spans="1:10" x14ac:dyDescent="0.25">
      <c r="A50" t="s">
        <v>169</v>
      </c>
      <c r="B50" t="s">
        <v>170</v>
      </c>
      <c r="C50" t="s">
        <v>171</v>
      </c>
      <c r="D50" t="s">
        <v>13</v>
      </c>
      <c r="E50" t="s">
        <v>14</v>
      </c>
      <c r="F50">
        <v>1</v>
      </c>
      <c r="G50">
        <v>3000</v>
      </c>
      <c r="H50">
        <v>3000</v>
      </c>
      <c r="I50" t="s">
        <v>15</v>
      </c>
      <c r="J50" t="s">
        <v>43</v>
      </c>
    </row>
    <row r="51" spans="1:10" x14ac:dyDescent="0.25">
      <c r="A51" t="s">
        <v>172</v>
      </c>
      <c r="B51" t="s">
        <v>173</v>
      </c>
      <c r="C51" t="s">
        <v>174</v>
      </c>
      <c r="D51" t="s">
        <v>27</v>
      </c>
      <c r="E51" t="s">
        <v>21</v>
      </c>
      <c r="F51">
        <v>5</v>
      </c>
      <c r="G51">
        <v>12000</v>
      </c>
      <c r="H51">
        <v>60000</v>
      </c>
      <c r="I51" t="s">
        <v>54</v>
      </c>
      <c r="J51" t="s">
        <v>23</v>
      </c>
    </row>
    <row r="52" spans="1:10" x14ac:dyDescent="0.25">
      <c r="A52" t="s">
        <v>175</v>
      </c>
      <c r="B52" t="s">
        <v>176</v>
      </c>
      <c r="C52" t="s">
        <v>177</v>
      </c>
      <c r="D52" t="s">
        <v>13</v>
      </c>
      <c r="E52" t="s">
        <v>14</v>
      </c>
      <c r="F52">
        <v>5</v>
      </c>
      <c r="G52">
        <v>3000</v>
      </c>
      <c r="H52">
        <v>15000</v>
      </c>
      <c r="I52" t="s">
        <v>39</v>
      </c>
      <c r="J52" t="s">
        <v>16</v>
      </c>
    </row>
    <row r="53" spans="1:10" x14ac:dyDescent="0.25">
      <c r="A53" t="s">
        <v>178</v>
      </c>
      <c r="B53" t="s">
        <v>179</v>
      </c>
      <c r="C53" t="s">
        <v>180</v>
      </c>
      <c r="D53" t="s">
        <v>27</v>
      </c>
      <c r="E53" t="s">
        <v>21</v>
      </c>
      <c r="F53">
        <v>1</v>
      </c>
      <c r="G53">
        <v>12000</v>
      </c>
      <c r="H53">
        <v>12000</v>
      </c>
      <c r="I53" t="s">
        <v>39</v>
      </c>
      <c r="J53" t="s">
        <v>16</v>
      </c>
    </row>
    <row r="54" spans="1:10" x14ac:dyDescent="0.25">
      <c r="A54" t="s">
        <v>181</v>
      </c>
      <c r="B54" t="s">
        <v>182</v>
      </c>
      <c r="C54" t="s">
        <v>183</v>
      </c>
      <c r="D54" t="s">
        <v>20</v>
      </c>
      <c r="E54" t="s">
        <v>21</v>
      </c>
      <c r="F54">
        <v>1</v>
      </c>
      <c r="G54">
        <v>5000</v>
      </c>
      <c r="H54">
        <v>5000</v>
      </c>
      <c r="I54" t="s">
        <v>39</v>
      </c>
      <c r="J54" t="s">
        <v>43</v>
      </c>
    </row>
    <row r="55" spans="1:10" x14ac:dyDescent="0.25">
      <c r="A55" t="s">
        <v>184</v>
      </c>
      <c r="B55" t="s">
        <v>185</v>
      </c>
      <c r="C55" t="s">
        <v>186</v>
      </c>
      <c r="D55" t="s">
        <v>20</v>
      </c>
      <c r="E55" t="s">
        <v>21</v>
      </c>
      <c r="F55">
        <v>3</v>
      </c>
      <c r="G55">
        <v>5000</v>
      </c>
      <c r="H55">
        <v>15000</v>
      </c>
      <c r="I55" t="s">
        <v>22</v>
      </c>
      <c r="J55" t="s">
        <v>23</v>
      </c>
    </row>
    <row r="56" spans="1:10" x14ac:dyDescent="0.25">
      <c r="A56" t="s">
        <v>187</v>
      </c>
      <c r="B56" t="s">
        <v>188</v>
      </c>
      <c r="C56" t="s">
        <v>189</v>
      </c>
      <c r="D56" t="s">
        <v>32</v>
      </c>
      <c r="E56" t="s">
        <v>21</v>
      </c>
      <c r="F56">
        <v>5</v>
      </c>
      <c r="G56">
        <v>8000</v>
      </c>
      <c r="H56">
        <v>40000</v>
      </c>
      <c r="I56" t="s">
        <v>15</v>
      </c>
      <c r="J56" t="s">
        <v>28</v>
      </c>
    </row>
    <row r="57" spans="1:10" x14ac:dyDescent="0.25">
      <c r="A57" t="s">
        <v>190</v>
      </c>
      <c r="B57" t="s">
        <v>191</v>
      </c>
      <c r="C57" t="s">
        <v>192</v>
      </c>
      <c r="D57" t="s">
        <v>27</v>
      </c>
      <c r="E57" t="s">
        <v>21</v>
      </c>
      <c r="F57">
        <v>5</v>
      </c>
      <c r="G57">
        <v>12000</v>
      </c>
      <c r="H57">
        <v>60000</v>
      </c>
      <c r="I57" t="s">
        <v>22</v>
      </c>
      <c r="J57" t="s">
        <v>16</v>
      </c>
    </row>
    <row r="58" spans="1:10" x14ac:dyDescent="0.25">
      <c r="A58" t="s">
        <v>193</v>
      </c>
      <c r="B58" t="s">
        <v>194</v>
      </c>
      <c r="C58" t="s">
        <v>195</v>
      </c>
      <c r="D58" t="s">
        <v>20</v>
      </c>
      <c r="E58" t="s">
        <v>21</v>
      </c>
      <c r="F58">
        <v>1</v>
      </c>
      <c r="G58">
        <v>5000</v>
      </c>
      <c r="H58">
        <v>5000</v>
      </c>
      <c r="I58" t="s">
        <v>39</v>
      </c>
      <c r="J58" t="s">
        <v>16</v>
      </c>
    </row>
    <row r="59" spans="1:10" x14ac:dyDescent="0.25">
      <c r="A59" t="s">
        <v>196</v>
      </c>
      <c r="B59" t="s">
        <v>197</v>
      </c>
      <c r="C59" t="s">
        <v>198</v>
      </c>
      <c r="D59" t="s">
        <v>27</v>
      </c>
      <c r="E59" t="s">
        <v>21</v>
      </c>
      <c r="F59">
        <v>5</v>
      </c>
      <c r="G59">
        <v>12000</v>
      </c>
      <c r="H59">
        <v>60000</v>
      </c>
      <c r="I59" t="s">
        <v>39</v>
      </c>
      <c r="J59" t="s">
        <v>28</v>
      </c>
    </row>
    <row r="60" spans="1:10" x14ac:dyDescent="0.25">
      <c r="A60" t="s">
        <v>199</v>
      </c>
      <c r="B60" t="s">
        <v>200</v>
      </c>
      <c r="C60" t="s">
        <v>201</v>
      </c>
      <c r="D60" t="s">
        <v>13</v>
      </c>
      <c r="E60" t="s">
        <v>14</v>
      </c>
      <c r="F60">
        <v>5</v>
      </c>
      <c r="G60">
        <v>3000</v>
      </c>
      <c r="H60">
        <v>15000</v>
      </c>
      <c r="I60" t="s">
        <v>39</v>
      </c>
      <c r="J60" t="s">
        <v>43</v>
      </c>
    </row>
    <row r="61" spans="1:10" x14ac:dyDescent="0.25">
      <c r="A61" t="s">
        <v>202</v>
      </c>
      <c r="B61" t="s">
        <v>203</v>
      </c>
      <c r="C61" t="s">
        <v>204</v>
      </c>
      <c r="D61" t="s">
        <v>13</v>
      </c>
      <c r="E61" t="s">
        <v>14</v>
      </c>
      <c r="F61">
        <v>1</v>
      </c>
      <c r="G61">
        <v>3000</v>
      </c>
      <c r="H61">
        <v>3000</v>
      </c>
      <c r="I61" t="s">
        <v>39</v>
      </c>
      <c r="J61" t="s">
        <v>28</v>
      </c>
    </row>
    <row r="62" spans="1:10" x14ac:dyDescent="0.25">
      <c r="A62" t="s">
        <v>205</v>
      </c>
      <c r="B62" t="s">
        <v>206</v>
      </c>
      <c r="C62" t="s">
        <v>207</v>
      </c>
      <c r="D62" t="s">
        <v>27</v>
      </c>
      <c r="E62" t="s">
        <v>21</v>
      </c>
      <c r="F62">
        <v>4</v>
      </c>
      <c r="G62">
        <v>12000</v>
      </c>
      <c r="H62">
        <v>48000</v>
      </c>
      <c r="I62" t="s">
        <v>22</v>
      </c>
      <c r="J62" t="s">
        <v>43</v>
      </c>
    </row>
    <row r="63" spans="1:10" x14ac:dyDescent="0.25">
      <c r="A63" t="s">
        <v>208</v>
      </c>
      <c r="B63" t="s">
        <v>209</v>
      </c>
      <c r="C63" t="s">
        <v>210</v>
      </c>
      <c r="D63" t="s">
        <v>20</v>
      </c>
      <c r="E63" t="s">
        <v>21</v>
      </c>
      <c r="F63">
        <v>2</v>
      </c>
      <c r="G63">
        <v>5000</v>
      </c>
      <c r="H63">
        <v>10000</v>
      </c>
      <c r="I63" t="s">
        <v>22</v>
      </c>
      <c r="J63" t="s">
        <v>28</v>
      </c>
    </row>
    <row r="64" spans="1:10" x14ac:dyDescent="0.25">
      <c r="A64" t="s">
        <v>211</v>
      </c>
      <c r="B64" t="s">
        <v>212</v>
      </c>
      <c r="C64" t="s">
        <v>213</v>
      </c>
      <c r="D64" t="s">
        <v>27</v>
      </c>
      <c r="E64" t="s">
        <v>21</v>
      </c>
      <c r="F64">
        <v>2</v>
      </c>
      <c r="G64">
        <v>12000</v>
      </c>
      <c r="H64">
        <v>24000</v>
      </c>
      <c r="I64" t="s">
        <v>22</v>
      </c>
      <c r="J64" t="s">
        <v>16</v>
      </c>
    </row>
    <row r="65" spans="1:10" x14ac:dyDescent="0.25">
      <c r="A65" t="s">
        <v>214</v>
      </c>
      <c r="B65" t="s">
        <v>215</v>
      </c>
      <c r="C65" t="s">
        <v>216</v>
      </c>
      <c r="D65" t="s">
        <v>32</v>
      </c>
      <c r="E65" t="s">
        <v>21</v>
      </c>
      <c r="F65">
        <v>2</v>
      </c>
      <c r="G65">
        <v>8000</v>
      </c>
      <c r="H65">
        <v>16000</v>
      </c>
      <c r="I65" t="s">
        <v>54</v>
      </c>
      <c r="J65" t="s">
        <v>16</v>
      </c>
    </row>
    <row r="66" spans="1:10" x14ac:dyDescent="0.25">
      <c r="A66" t="s">
        <v>217</v>
      </c>
      <c r="B66" t="s">
        <v>218</v>
      </c>
      <c r="C66" t="s">
        <v>219</v>
      </c>
      <c r="D66" t="s">
        <v>47</v>
      </c>
      <c r="E66" t="s">
        <v>14</v>
      </c>
      <c r="F66">
        <v>1</v>
      </c>
      <c r="G66">
        <v>1500</v>
      </c>
      <c r="H66">
        <v>1500</v>
      </c>
      <c r="I66" t="s">
        <v>54</v>
      </c>
      <c r="J66" t="s">
        <v>23</v>
      </c>
    </row>
    <row r="67" spans="1:10" x14ac:dyDescent="0.25">
      <c r="A67" t="s">
        <v>220</v>
      </c>
      <c r="B67" t="s">
        <v>221</v>
      </c>
      <c r="C67" t="s">
        <v>222</v>
      </c>
      <c r="D67" t="s">
        <v>32</v>
      </c>
      <c r="E67" t="s">
        <v>21</v>
      </c>
      <c r="F67">
        <v>5</v>
      </c>
      <c r="G67">
        <v>8000</v>
      </c>
      <c r="H67">
        <v>40000</v>
      </c>
      <c r="I67" t="s">
        <v>22</v>
      </c>
      <c r="J67" t="s">
        <v>23</v>
      </c>
    </row>
    <row r="68" spans="1:10" x14ac:dyDescent="0.25">
      <c r="A68" t="s">
        <v>223</v>
      </c>
      <c r="B68" t="s">
        <v>224</v>
      </c>
      <c r="C68" t="s">
        <v>225</v>
      </c>
      <c r="D68" t="s">
        <v>32</v>
      </c>
      <c r="E68" t="s">
        <v>21</v>
      </c>
      <c r="F68">
        <v>1</v>
      </c>
      <c r="G68">
        <v>8000</v>
      </c>
      <c r="H68">
        <v>8000</v>
      </c>
      <c r="I68" t="s">
        <v>54</v>
      </c>
      <c r="J68" t="s">
        <v>23</v>
      </c>
    </row>
    <row r="69" spans="1:10" x14ac:dyDescent="0.25">
      <c r="A69" t="s">
        <v>226</v>
      </c>
      <c r="B69" t="s">
        <v>227</v>
      </c>
      <c r="C69" t="s">
        <v>228</v>
      </c>
      <c r="D69" t="s">
        <v>32</v>
      </c>
      <c r="E69" t="s">
        <v>21</v>
      </c>
      <c r="F69">
        <v>2</v>
      </c>
      <c r="G69">
        <v>8000</v>
      </c>
      <c r="H69">
        <v>16000</v>
      </c>
      <c r="I69" t="s">
        <v>39</v>
      </c>
      <c r="J69" t="s">
        <v>16</v>
      </c>
    </row>
    <row r="70" spans="1:10" x14ac:dyDescent="0.25">
      <c r="A70" t="s">
        <v>229</v>
      </c>
      <c r="B70" t="s">
        <v>230</v>
      </c>
      <c r="C70" t="s">
        <v>231</v>
      </c>
      <c r="D70" t="s">
        <v>27</v>
      </c>
      <c r="E70" t="s">
        <v>21</v>
      </c>
      <c r="F70">
        <v>4</v>
      </c>
      <c r="G70">
        <v>12000</v>
      </c>
      <c r="H70">
        <v>48000</v>
      </c>
      <c r="I70" t="s">
        <v>39</v>
      </c>
      <c r="J70" t="s">
        <v>16</v>
      </c>
    </row>
    <row r="71" spans="1:10" x14ac:dyDescent="0.25">
      <c r="A71" t="s">
        <v>232</v>
      </c>
      <c r="B71" t="s">
        <v>233</v>
      </c>
      <c r="C71" t="s">
        <v>234</v>
      </c>
      <c r="D71" t="s">
        <v>47</v>
      </c>
      <c r="E71" t="s">
        <v>14</v>
      </c>
      <c r="F71">
        <v>1</v>
      </c>
      <c r="G71">
        <v>1500</v>
      </c>
      <c r="H71">
        <v>1500</v>
      </c>
      <c r="I71" t="s">
        <v>54</v>
      </c>
      <c r="J71" t="s">
        <v>16</v>
      </c>
    </row>
    <row r="72" spans="1:10" x14ac:dyDescent="0.25">
      <c r="A72" t="s">
        <v>235</v>
      </c>
      <c r="B72" t="s">
        <v>236</v>
      </c>
      <c r="C72" t="s">
        <v>237</v>
      </c>
      <c r="D72" t="s">
        <v>20</v>
      </c>
      <c r="E72" t="s">
        <v>21</v>
      </c>
      <c r="F72">
        <v>1</v>
      </c>
      <c r="G72">
        <v>5000</v>
      </c>
      <c r="H72">
        <v>5000</v>
      </c>
      <c r="I72" t="s">
        <v>39</v>
      </c>
      <c r="J72" t="s">
        <v>28</v>
      </c>
    </row>
    <row r="73" spans="1:10" x14ac:dyDescent="0.25">
      <c r="A73" t="s">
        <v>238</v>
      </c>
      <c r="B73" t="s">
        <v>239</v>
      </c>
      <c r="C73" t="s">
        <v>240</v>
      </c>
      <c r="D73" t="s">
        <v>32</v>
      </c>
      <c r="E73" t="s">
        <v>21</v>
      </c>
      <c r="F73">
        <v>2</v>
      </c>
      <c r="G73">
        <v>8000</v>
      </c>
      <c r="H73">
        <v>16000</v>
      </c>
      <c r="I73" t="s">
        <v>54</v>
      </c>
      <c r="J73" t="s">
        <v>23</v>
      </c>
    </row>
    <row r="74" spans="1:10" x14ac:dyDescent="0.25">
      <c r="A74" t="s">
        <v>241</v>
      </c>
      <c r="B74" t="s">
        <v>242</v>
      </c>
      <c r="C74" t="s">
        <v>243</v>
      </c>
      <c r="D74" t="s">
        <v>47</v>
      </c>
      <c r="E74" t="s">
        <v>14</v>
      </c>
      <c r="F74">
        <v>3</v>
      </c>
      <c r="G74">
        <v>1500</v>
      </c>
      <c r="H74">
        <v>4500</v>
      </c>
      <c r="I74" t="s">
        <v>22</v>
      </c>
      <c r="J74" t="s">
        <v>16</v>
      </c>
    </row>
    <row r="75" spans="1:10" x14ac:dyDescent="0.25">
      <c r="A75" t="s">
        <v>244</v>
      </c>
      <c r="B75" t="s">
        <v>245</v>
      </c>
      <c r="C75" t="s">
        <v>246</v>
      </c>
      <c r="D75" t="s">
        <v>20</v>
      </c>
      <c r="E75" t="s">
        <v>21</v>
      </c>
      <c r="F75">
        <v>1</v>
      </c>
      <c r="G75">
        <v>5000</v>
      </c>
      <c r="H75">
        <v>5000</v>
      </c>
      <c r="I75" t="s">
        <v>54</v>
      </c>
      <c r="J75" t="s">
        <v>23</v>
      </c>
    </row>
    <row r="76" spans="1:10" x14ac:dyDescent="0.25">
      <c r="A76" t="s">
        <v>247</v>
      </c>
      <c r="B76" t="s">
        <v>248</v>
      </c>
      <c r="C76" t="s">
        <v>249</v>
      </c>
      <c r="D76" t="s">
        <v>20</v>
      </c>
      <c r="E76" t="s">
        <v>21</v>
      </c>
      <c r="F76">
        <v>5</v>
      </c>
      <c r="G76">
        <v>5000</v>
      </c>
      <c r="H76">
        <v>25000</v>
      </c>
      <c r="I76" t="s">
        <v>22</v>
      </c>
      <c r="J76" t="s">
        <v>16</v>
      </c>
    </row>
    <row r="77" spans="1:10" x14ac:dyDescent="0.25">
      <c r="A77" t="s">
        <v>250</v>
      </c>
      <c r="B77" t="s">
        <v>251</v>
      </c>
      <c r="C77" t="s">
        <v>252</v>
      </c>
      <c r="D77" t="s">
        <v>20</v>
      </c>
      <c r="E77" t="s">
        <v>21</v>
      </c>
      <c r="F77">
        <v>1</v>
      </c>
      <c r="G77">
        <v>5000</v>
      </c>
      <c r="H77">
        <v>5000</v>
      </c>
      <c r="I77" t="s">
        <v>39</v>
      </c>
      <c r="J77" t="s">
        <v>23</v>
      </c>
    </row>
    <row r="78" spans="1:10" x14ac:dyDescent="0.25">
      <c r="A78" t="s">
        <v>253</v>
      </c>
      <c r="B78" t="s">
        <v>254</v>
      </c>
      <c r="C78" t="s">
        <v>255</v>
      </c>
      <c r="D78" t="s">
        <v>27</v>
      </c>
      <c r="E78" t="s">
        <v>21</v>
      </c>
      <c r="F78">
        <v>1</v>
      </c>
      <c r="G78">
        <v>12000</v>
      </c>
      <c r="H78">
        <v>12000</v>
      </c>
      <c r="I78" t="s">
        <v>15</v>
      </c>
      <c r="J78" t="s">
        <v>43</v>
      </c>
    </row>
    <row r="79" spans="1:10" x14ac:dyDescent="0.25">
      <c r="A79" t="s">
        <v>256</v>
      </c>
      <c r="B79" t="s">
        <v>257</v>
      </c>
      <c r="C79" t="s">
        <v>258</v>
      </c>
      <c r="D79" t="s">
        <v>32</v>
      </c>
      <c r="E79" t="s">
        <v>21</v>
      </c>
      <c r="F79">
        <v>1</v>
      </c>
      <c r="G79">
        <v>8000</v>
      </c>
      <c r="H79">
        <v>8000</v>
      </c>
      <c r="I79" t="s">
        <v>15</v>
      </c>
      <c r="J79" t="s">
        <v>23</v>
      </c>
    </row>
    <row r="80" spans="1:10" x14ac:dyDescent="0.25">
      <c r="A80" t="s">
        <v>259</v>
      </c>
      <c r="B80" t="s">
        <v>260</v>
      </c>
      <c r="C80" t="s">
        <v>261</v>
      </c>
      <c r="D80" t="s">
        <v>27</v>
      </c>
      <c r="E80" t="s">
        <v>21</v>
      </c>
      <c r="F80">
        <v>3</v>
      </c>
      <c r="G80">
        <v>12000</v>
      </c>
      <c r="H80">
        <v>36000</v>
      </c>
      <c r="I80" t="s">
        <v>39</v>
      </c>
      <c r="J80" t="s">
        <v>23</v>
      </c>
    </row>
    <row r="81" spans="1:10" x14ac:dyDescent="0.25">
      <c r="A81" t="s">
        <v>262</v>
      </c>
      <c r="B81" t="s">
        <v>263</v>
      </c>
      <c r="C81" t="s">
        <v>264</v>
      </c>
      <c r="D81" t="s">
        <v>47</v>
      </c>
      <c r="E81" t="s">
        <v>14</v>
      </c>
      <c r="F81">
        <v>1</v>
      </c>
      <c r="G81">
        <v>1500</v>
      </c>
      <c r="H81">
        <v>1500</v>
      </c>
      <c r="I81" t="s">
        <v>22</v>
      </c>
      <c r="J81" t="s">
        <v>16</v>
      </c>
    </row>
    <row r="82" spans="1:10" x14ac:dyDescent="0.25">
      <c r="A82" t="s">
        <v>265</v>
      </c>
      <c r="B82" t="s">
        <v>266</v>
      </c>
      <c r="C82" t="s">
        <v>267</v>
      </c>
      <c r="D82" t="s">
        <v>32</v>
      </c>
      <c r="E82" t="s">
        <v>21</v>
      </c>
      <c r="F82">
        <v>5</v>
      </c>
      <c r="G82">
        <v>8000</v>
      </c>
      <c r="H82">
        <v>40000</v>
      </c>
      <c r="I82" t="s">
        <v>39</v>
      </c>
      <c r="J82" t="s">
        <v>23</v>
      </c>
    </row>
    <row r="83" spans="1:10" x14ac:dyDescent="0.25">
      <c r="A83" t="s">
        <v>268</v>
      </c>
      <c r="B83" t="s">
        <v>269</v>
      </c>
      <c r="C83" t="s">
        <v>270</v>
      </c>
      <c r="D83" t="s">
        <v>32</v>
      </c>
      <c r="E83" t="s">
        <v>21</v>
      </c>
      <c r="F83">
        <v>3</v>
      </c>
      <c r="G83">
        <v>8000</v>
      </c>
      <c r="H83">
        <v>24000</v>
      </c>
      <c r="I83" t="s">
        <v>15</v>
      </c>
      <c r="J83" t="s">
        <v>23</v>
      </c>
    </row>
    <row r="84" spans="1:10" x14ac:dyDescent="0.25">
      <c r="A84" t="s">
        <v>271</v>
      </c>
      <c r="B84" t="s">
        <v>272</v>
      </c>
      <c r="C84" t="s">
        <v>273</v>
      </c>
      <c r="D84" t="s">
        <v>27</v>
      </c>
      <c r="E84" t="s">
        <v>21</v>
      </c>
      <c r="F84">
        <v>5</v>
      </c>
      <c r="G84">
        <v>12000</v>
      </c>
      <c r="H84">
        <v>60000</v>
      </c>
      <c r="I84" t="s">
        <v>39</v>
      </c>
      <c r="J84" t="s">
        <v>28</v>
      </c>
    </row>
    <row r="85" spans="1:10" x14ac:dyDescent="0.25">
      <c r="A85" t="s">
        <v>274</v>
      </c>
      <c r="B85" t="s">
        <v>275</v>
      </c>
      <c r="C85" t="s">
        <v>276</v>
      </c>
      <c r="D85" t="s">
        <v>32</v>
      </c>
      <c r="E85" t="s">
        <v>21</v>
      </c>
      <c r="F85">
        <v>1</v>
      </c>
      <c r="G85">
        <v>8000</v>
      </c>
      <c r="H85">
        <v>8000</v>
      </c>
      <c r="I85" t="s">
        <v>15</v>
      </c>
      <c r="J85" t="s">
        <v>28</v>
      </c>
    </row>
    <row r="86" spans="1:10" x14ac:dyDescent="0.25">
      <c r="A86" t="s">
        <v>277</v>
      </c>
      <c r="B86" t="s">
        <v>278</v>
      </c>
      <c r="C86" t="s">
        <v>279</v>
      </c>
      <c r="D86" t="s">
        <v>27</v>
      </c>
      <c r="E86" t="s">
        <v>21</v>
      </c>
      <c r="F86">
        <v>4</v>
      </c>
      <c r="G86">
        <v>12000</v>
      </c>
      <c r="H86">
        <v>48000</v>
      </c>
      <c r="I86" t="s">
        <v>39</v>
      </c>
      <c r="J86" t="s">
        <v>43</v>
      </c>
    </row>
    <row r="87" spans="1:10" x14ac:dyDescent="0.25">
      <c r="A87" t="s">
        <v>280</v>
      </c>
      <c r="B87" t="s">
        <v>281</v>
      </c>
      <c r="C87" t="s">
        <v>282</v>
      </c>
      <c r="D87" t="s">
        <v>20</v>
      </c>
      <c r="E87" t="s">
        <v>21</v>
      </c>
      <c r="F87">
        <v>2</v>
      </c>
      <c r="G87">
        <v>5000</v>
      </c>
      <c r="H87">
        <v>10000</v>
      </c>
      <c r="I87" t="s">
        <v>39</v>
      </c>
      <c r="J87" t="s">
        <v>23</v>
      </c>
    </row>
    <row r="88" spans="1:10" x14ac:dyDescent="0.25">
      <c r="A88" t="s">
        <v>283</v>
      </c>
      <c r="B88" t="s">
        <v>284</v>
      </c>
      <c r="C88" t="s">
        <v>285</v>
      </c>
      <c r="D88" t="s">
        <v>27</v>
      </c>
      <c r="E88" t="s">
        <v>21</v>
      </c>
      <c r="F88">
        <v>3</v>
      </c>
      <c r="G88">
        <v>12000</v>
      </c>
      <c r="H88">
        <v>36000</v>
      </c>
      <c r="I88" t="s">
        <v>15</v>
      </c>
      <c r="J88" t="s">
        <v>43</v>
      </c>
    </row>
    <row r="89" spans="1:10" x14ac:dyDescent="0.25">
      <c r="A89" t="s">
        <v>286</v>
      </c>
      <c r="B89" t="s">
        <v>287</v>
      </c>
      <c r="C89" t="s">
        <v>288</v>
      </c>
      <c r="D89" t="s">
        <v>27</v>
      </c>
      <c r="E89" t="s">
        <v>21</v>
      </c>
      <c r="F89">
        <v>3</v>
      </c>
      <c r="G89">
        <v>12000</v>
      </c>
      <c r="H89">
        <v>36000</v>
      </c>
      <c r="I89" t="s">
        <v>15</v>
      </c>
      <c r="J89" t="s">
        <v>43</v>
      </c>
    </row>
    <row r="90" spans="1:10" x14ac:dyDescent="0.25">
      <c r="A90" t="s">
        <v>289</v>
      </c>
      <c r="B90" t="s">
        <v>290</v>
      </c>
      <c r="C90" t="s">
        <v>291</v>
      </c>
      <c r="D90" t="s">
        <v>47</v>
      </c>
      <c r="E90" t="s">
        <v>14</v>
      </c>
      <c r="F90">
        <v>2</v>
      </c>
      <c r="G90">
        <v>1500</v>
      </c>
      <c r="H90">
        <v>3000</v>
      </c>
      <c r="I90" t="s">
        <v>22</v>
      </c>
      <c r="J90" t="s">
        <v>28</v>
      </c>
    </row>
    <row r="91" spans="1:10" x14ac:dyDescent="0.25">
      <c r="A91" t="s">
        <v>292</v>
      </c>
      <c r="B91" t="s">
        <v>293</v>
      </c>
      <c r="C91" t="s">
        <v>294</v>
      </c>
      <c r="D91" t="s">
        <v>27</v>
      </c>
      <c r="E91" t="s">
        <v>21</v>
      </c>
      <c r="F91">
        <v>3</v>
      </c>
      <c r="G91">
        <v>12000</v>
      </c>
      <c r="H91">
        <v>36000</v>
      </c>
      <c r="I91" t="s">
        <v>22</v>
      </c>
      <c r="J91" t="s">
        <v>23</v>
      </c>
    </row>
    <row r="92" spans="1:10" x14ac:dyDescent="0.25">
      <c r="A92" t="s">
        <v>295</v>
      </c>
      <c r="B92" t="s">
        <v>11</v>
      </c>
      <c r="C92" t="s">
        <v>296</v>
      </c>
      <c r="D92" t="s">
        <v>13</v>
      </c>
      <c r="E92" t="s">
        <v>14</v>
      </c>
      <c r="F92">
        <v>3</v>
      </c>
      <c r="G92">
        <v>3000</v>
      </c>
      <c r="H92">
        <v>9000</v>
      </c>
      <c r="I92" t="s">
        <v>15</v>
      </c>
      <c r="J92" t="s">
        <v>23</v>
      </c>
    </row>
    <row r="93" spans="1:10" x14ac:dyDescent="0.25">
      <c r="A93" t="s">
        <v>297</v>
      </c>
      <c r="B93" t="s">
        <v>18</v>
      </c>
      <c r="C93" t="s">
        <v>298</v>
      </c>
      <c r="D93" t="s">
        <v>27</v>
      </c>
      <c r="E93" t="s">
        <v>21</v>
      </c>
      <c r="F93">
        <v>5</v>
      </c>
      <c r="G93">
        <v>12000</v>
      </c>
      <c r="H93">
        <v>60000</v>
      </c>
      <c r="I93" t="s">
        <v>39</v>
      </c>
      <c r="J93" t="s">
        <v>23</v>
      </c>
    </row>
    <row r="94" spans="1:10" x14ac:dyDescent="0.25">
      <c r="A94" t="s">
        <v>299</v>
      </c>
      <c r="B94" t="s">
        <v>25</v>
      </c>
      <c r="C94" t="s">
        <v>300</v>
      </c>
      <c r="D94" t="s">
        <v>32</v>
      </c>
      <c r="E94" t="s">
        <v>21</v>
      </c>
      <c r="F94">
        <v>2</v>
      </c>
      <c r="G94">
        <v>8000</v>
      </c>
      <c r="H94">
        <v>16000</v>
      </c>
      <c r="I94" t="s">
        <v>39</v>
      </c>
      <c r="J94" t="s">
        <v>43</v>
      </c>
    </row>
    <row r="95" spans="1:10" x14ac:dyDescent="0.25">
      <c r="A95" t="s">
        <v>301</v>
      </c>
      <c r="B95" t="s">
        <v>30</v>
      </c>
      <c r="C95" t="s">
        <v>302</v>
      </c>
      <c r="D95" t="s">
        <v>13</v>
      </c>
      <c r="E95" t="s">
        <v>14</v>
      </c>
      <c r="F95">
        <v>3</v>
      </c>
      <c r="G95">
        <v>3000</v>
      </c>
      <c r="H95">
        <v>9000</v>
      </c>
      <c r="I95" t="s">
        <v>54</v>
      </c>
      <c r="J95" t="s">
        <v>16</v>
      </c>
    </row>
    <row r="96" spans="1:10" x14ac:dyDescent="0.25">
      <c r="A96" t="s">
        <v>303</v>
      </c>
      <c r="B96" t="s">
        <v>34</v>
      </c>
      <c r="C96" t="s">
        <v>304</v>
      </c>
      <c r="D96" t="s">
        <v>27</v>
      </c>
      <c r="E96" t="s">
        <v>21</v>
      </c>
      <c r="F96">
        <v>1</v>
      </c>
      <c r="G96">
        <v>12000</v>
      </c>
      <c r="H96">
        <v>12000</v>
      </c>
      <c r="I96" t="s">
        <v>22</v>
      </c>
      <c r="J96" t="s">
        <v>43</v>
      </c>
    </row>
    <row r="97" spans="1:10" x14ac:dyDescent="0.25">
      <c r="A97" t="s">
        <v>305</v>
      </c>
      <c r="B97" t="s">
        <v>37</v>
      </c>
      <c r="C97" t="s">
        <v>306</v>
      </c>
      <c r="D97" t="s">
        <v>20</v>
      </c>
      <c r="E97" t="s">
        <v>21</v>
      </c>
      <c r="F97">
        <v>4</v>
      </c>
      <c r="G97">
        <v>5000</v>
      </c>
      <c r="H97">
        <v>20000</v>
      </c>
      <c r="I97" t="s">
        <v>54</v>
      </c>
      <c r="J97" t="s">
        <v>23</v>
      </c>
    </row>
    <row r="98" spans="1:10" x14ac:dyDescent="0.25">
      <c r="A98" t="s">
        <v>307</v>
      </c>
      <c r="B98" t="s">
        <v>41</v>
      </c>
      <c r="C98" t="s">
        <v>308</v>
      </c>
      <c r="D98" t="s">
        <v>13</v>
      </c>
      <c r="E98" t="s">
        <v>14</v>
      </c>
      <c r="F98">
        <v>5</v>
      </c>
      <c r="G98">
        <v>3000</v>
      </c>
      <c r="H98">
        <v>15000</v>
      </c>
      <c r="I98" t="s">
        <v>54</v>
      </c>
      <c r="J98" t="s">
        <v>43</v>
      </c>
    </row>
    <row r="99" spans="1:10" x14ac:dyDescent="0.25">
      <c r="A99" t="s">
        <v>309</v>
      </c>
      <c r="B99" t="s">
        <v>45</v>
      </c>
      <c r="C99" t="s">
        <v>310</v>
      </c>
      <c r="D99" t="s">
        <v>20</v>
      </c>
      <c r="E99" t="s">
        <v>21</v>
      </c>
      <c r="F99">
        <v>1</v>
      </c>
      <c r="G99">
        <v>5000</v>
      </c>
      <c r="H99">
        <v>5000</v>
      </c>
      <c r="I99" t="s">
        <v>39</v>
      </c>
      <c r="J99" t="s">
        <v>16</v>
      </c>
    </row>
    <row r="100" spans="1:10" x14ac:dyDescent="0.25">
      <c r="A100" t="s">
        <v>311</v>
      </c>
      <c r="B100" t="s">
        <v>49</v>
      </c>
      <c r="C100" t="s">
        <v>312</v>
      </c>
      <c r="D100" t="s">
        <v>27</v>
      </c>
      <c r="E100" t="s">
        <v>21</v>
      </c>
      <c r="F100">
        <v>2</v>
      </c>
      <c r="G100">
        <v>12000</v>
      </c>
      <c r="H100">
        <v>24000</v>
      </c>
      <c r="I100" t="s">
        <v>39</v>
      </c>
      <c r="J100" t="s">
        <v>43</v>
      </c>
    </row>
    <row r="101" spans="1:10" x14ac:dyDescent="0.25">
      <c r="A101" t="s">
        <v>313</v>
      </c>
      <c r="B101" t="s">
        <v>52</v>
      </c>
      <c r="C101" t="s">
        <v>314</v>
      </c>
      <c r="D101" t="s">
        <v>13</v>
      </c>
      <c r="E101" t="s">
        <v>14</v>
      </c>
      <c r="F101">
        <v>5</v>
      </c>
      <c r="G101">
        <v>3000</v>
      </c>
      <c r="H101">
        <v>15000</v>
      </c>
      <c r="I101" t="s">
        <v>15</v>
      </c>
      <c r="J101" t="s">
        <v>28</v>
      </c>
    </row>
    <row r="102" spans="1:10" x14ac:dyDescent="0.25">
      <c r="A102" t="s">
        <v>315</v>
      </c>
      <c r="B102" t="s">
        <v>56</v>
      </c>
      <c r="C102" t="s">
        <v>316</v>
      </c>
      <c r="D102" t="s">
        <v>27</v>
      </c>
      <c r="E102" t="s">
        <v>21</v>
      </c>
      <c r="F102">
        <v>5</v>
      </c>
      <c r="G102">
        <v>12000</v>
      </c>
      <c r="H102">
        <v>60000</v>
      </c>
      <c r="I102" t="s">
        <v>22</v>
      </c>
      <c r="J102" t="s">
        <v>23</v>
      </c>
    </row>
    <row r="103" spans="1:10" x14ac:dyDescent="0.25">
      <c r="A103" t="s">
        <v>317</v>
      </c>
      <c r="B103" t="s">
        <v>59</v>
      </c>
      <c r="C103" t="s">
        <v>318</v>
      </c>
      <c r="D103" t="s">
        <v>20</v>
      </c>
      <c r="E103" t="s">
        <v>21</v>
      </c>
      <c r="F103">
        <v>3</v>
      </c>
      <c r="G103">
        <v>5000</v>
      </c>
      <c r="H103">
        <v>15000</v>
      </c>
      <c r="I103" t="s">
        <v>15</v>
      </c>
      <c r="J103" t="s">
        <v>43</v>
      </c>
    </row>
    <row r="104" spans="1:10" x14ac:dyDescent="0.25">
      <c r="A104" t="s">
        <v>319</v>
      </c>
      <c r="B104" t="s">
        <v>62</v>
      </c>
      <c r="C104" t="s">
        <v>320</v>
      </c>
      <c r="D104" t="s">
        <v>47</v>
      </c>
      <c r="E104" t="s">
        <v>14</v>
      </c>
      <c r="F104">
        <v>1</v>
      </c>
      <c r="G104">
        <v>1500</v>
      </c>
      <c r="H104">
        <v>1500</v>
      </c>
      <c r="I104" t="s">
        <v>54</v>
      </c>
      <c r="J104" t="s">
        <v>28</v>
      </c>
    </row>
    <row r="105" spans="1:10" x14ac:dyDescent="0.25">
      <c r="A105" t="s">
        <v>321</v>
      </c>
      <c r="B105" t="s">
        <v>65</v>
      </c>
      <c r="C105" t="s">
        <v>322</v>
      </c>
      <c r="D105" t="s">
        <v>47</v>
      </c>
      <c r="E105" t="s">
        <v>14</v>
      </c>
      <c r="F105">
        <v>4</v>
      </c>
      <c r="G105">
        <v>1500</v>
      </c>
      <c r="H105">
        <v>6000</v>
      </c>
      <c r="I105" t="s">
        <v>22</v>
      </c>
      <c r="J105" t="s">
        <v>16</v>
      </c>
    </row>
    <row r="106" spans="1:10" x14ac:dyDescent="0.25">
      <c r="A106" t="s">
        <v>323</v>
      </c>
      <c r="B106" t="s">
        <v>68</v>
      </c>
      <c r="C106" t="s">
        <v>324</v>
      </c>
      <c r="D106" t="s">
        <v>20</v>
      </c>
      <c r="E106" t="s">
        <v>21</v>
      </c>
      <c r="F106">
        <v>2</v>
      </c>
      <c r="G106">
        <v>5000</v>
      </c>
      <c r="H106">
        <v>10000</v>
      </c>
      <c r="I106" t="s">
        <v>22</v>
      </c>
      <c r="J106" t="s">
        <v>28</v>
      </c>
    </row>
    <row r="107" spans="1:10" x14ac:dyDescent="0.25">
      <c r="A107" t="s">
        <v>325</v>
      </c>
      <c r="B107" t="s">
        <v>71</v>
      </c>
      <c r="C107" t="s">
        <v>326</v>
      </c>
      <c r="D107" t="s">
        <v>13</v>
      </c>
      <c r="E107" t="s">
        <v>14</v>
      </c>
      <c r="F107">
        <v>1</v>
      </c>
      <c r="G107">
        <v>3000</v>
      </c>
      <c r="H107">
        <v>3000</v>
      </c>
      <c r="I107" t="s">
        <v>39</v>
      </c>
      <c r="J107" t="s">
        <v>43</v>
      </c>
    </row>
    <row r="108" spans="1:10" x14ac:dyDescent="0.25">
      <c r="A108" t="s">
        <v>327</v>
      </c>
      <c r="B108" t="s">
        <v>74</v>
      </c>
      <c r="C108" t="s">
        <v>328</v>
      </c>
      <c r="D108" t="s">
        <v>13</v>
      </c>
      <c r="E108" t="s">
        <v>14</v>
      </c>
      <c r="F108">
        <v>4</v>
      </c>
      <c r="G108">
        <v>3000</v>
      </c>
      <c r="H108">
        <v>12000</v>
      </c>
      <c r="I108" t="s">
        <v>15</v>
      </c>
      <c r="J108" t="s">
        <v>16</v>
      </c>
    </row>
    <row r="109" spans="1:10" x14ac:dyDescent="0.25">
      <c r="A109" t="s">
        <v>329</v>
      </c>
      <c r="B109" t="s">
        <v>77</v>
      </c>
      <c r="C109" t="s">
        <v>330</v>
      </c>
      <c r="D109" t="s">
        <v>20</v>
      </c>
      <c r="E109" t="s">
        <v>21</v>
      </c>
      <c r="F109">
        <v>4</v>
      </c>
      <c r="G109">
        <v>5000</v>
      </c>
      <c r="H109">
        <v>20000</v>
      </c>
      <c r="I109" t="s">
        <v>39</v>
      </c>
      <c r="J109" t="s">
        <v>28</v>
      </c>
    </row>
    <row r="110" spans="1:10" x14ac:dyDescent="0.25">
      <c r="A110" t="s">
        <v>331</v>
      </c>
      <c r="B110" t="s">
        <v>80</v>
      </c>
      <c r="C110" t="s">
        <v>332</v>
      </c>
      <c r="D110" t="s">
        <v>13</v>
      </c>
      <c r="E110" t="s">
        <v>14</v>
      </c>
      <c r="F110">
        <v>4</v>
      </c>
      <c r="G110">
        <v>3000</v>
      </c>
      <c r="H110">
        <v>12000</v>
      </c>
      <c r="I110" t="s">
        <v>15</v>
      </c>
      <c r="J110" t="s">
        <v>28</v>
      </c>
    </row>
    <row r="111" spans="1:10" x14ac:dyDescent="0.25">
      <c r="A111" t="s">
        <v>333</v>
      </c>
      <c r="B111" t="s">
        <v>83</v>
      </c>
      <c r="C111" t="s">
        <v>334</v>
      </c>
      <c r="D111" t="s">
        <v>32</v>
      </c>
      <c r="E111" t="s">
        <v>21</v>
      </c>
      <c r="F111">
        <v>5</v>
      </c>
      <c r="G111">
        <v>8000</v>
      </c>
      <c r="H111">
        <v>40000</v>
      </c>
      <c r="I111" t="s">
        <v>54</v>
      </c>
      <c r="J111" t="s">
        <v>28</v>
      </c>
    </row>
    <row r="112" spans="1:10" x14ac:dyDescent="0.25">
      <c r="A112" t="s">
        <v>335</v>
      </c>
      <c r="B112" t="s">
        <v>86</v>
      </c>
      <c r="C112" t="s">
        <v>336</v>
      </c>
      <c r="D112" t="s">
        <v>13</v>
      </c>
      <c r="E112" t="s">
        <v>14</v>
      </c>
      <c r="F112">
        <v>3</v>
      </c>
      <c r="G112">
        <v>3000</v>
      </c>
      <c r="H112">
        <v>9000</v>
      </c>
      <c r="I112" t="s">
        <v>39</v>
      </c>
      <c r="J112" t="s">
        <v>23</v>
      </c>
    </row>
    <row r="113" spans="1:10" x14ac:dyDescent="0.25">
      <c r="A113" t="s">
        <v>337</v>
      </c>
      <c r="B113" t="s">
        <v>89</v>
      </c>
      <c r="C113" t="s">
        <v>338</v>
      </c>
      <c r="D113" t="s">
        <v>13</v>
      </c>
      <c r="E113" t="s">
        <v>14</v>
      </c>
      <c r="F113">
        <v>4</v>
      </c>
      <c r="G113">
        <v>3000</v>
      </c>
      <c r="H113">
        <v>12000</v>
      </c>
      <c r="I113" t="s">
        <v>22</v>
      </c>
      <c r="J113" t="s">
        <v>28</v>
      </c>
    </row>
    <row r="114" spans="1:10" x14ac:dyDescent="0.25">
      <c r="A114" t="s">
        <v>339</v>
      </c>
      <c r="B114" t="s">
        <v>92</v>
      </c>
      <c r="C114" t="s">
        <v>340</v>
      </c>
      <c r="D114" t="s">
        <v>13</v>
      </c>
      <c r="E114" t="s">
        <v>14</v>
      </c>
      <c r="F114">
        <v>4</v>
      </c>
      <c r="G114">
        <v>3000</v>
      </c>
      <c r="H114">
        <v>12000</v>
      </c>
      <c r="I114" t="s">
        <v>15</v>
      </c>
      <c r="J114" t="s">
        <v>28</v>
      </c>
    </row>
    <row r="115" spans="1:10" x14ac:dyDescent="0.25">
      <c r="A115" t="s">
        <v>341</v>
      </c>
      <c r="B115" t="s">
        <v>95</v>
      </c>
      <c r="C115" t="s">
        <v>342</v>
      </c>
      <c r="D115" t="s">
        <v>20</v>
      </c>
      <c r="E115" t="s">
        <v>21</v>
      </c>
      <c r="F115">
        <v>4</v>
      </c>
      <c r="G115">
        <v>5000</v>
      </c>
      <c r="H115">
        <v>20000</v>
      </c>
      <c r="I115" t="s">
        <v>15</v>
      </c>
      <c r="J115" t="s">
        <v>28</v>
      </c>
    </row>
    <row r="116" spans="1:10" x14ac:dyDescent="0.25">
      <c r="A116" t="s">
        <v>343</v>
      </c>
      <c r="B116" t="s">
        <v>98</v>
      </c>
      <c r="C116" t="s">
        <v>344</v>
      </c>
      <c r="D116" t="s">
        <v>13</v>
      </c>
      <c r="E116" t="s">
        <v>14</v>
      </c>
      <c r="F116">
        <v>1</v>
      </c>
      <c r="G116">
        <v>3000</v>
      </c>
      <c r="H116">
        <v>3000</v>
      </c>
      <c r="I116" t="s">
        <v>15</v>
      </c>
      <c r="J116" t="s">
        <v>28</v>
      </c>
    </row>
    <row r="117" spans="1:10" x14ac:dyDescent="0.25">
      <c r="A117" t="s">
        <v>345</v>
      </c>
      <c r="B117" t="s">
        <v>101</v>
      </c>
      <c r="C117" t="s">
        <v>346</v>
      </c>
      <c r="D117" t="s">
        <v>32</v>
      </c>
      <c r="E117" t="s">
        <v>21</v>
      </c>
      <c r="F117">
        <v>2</v>
      </c>
      <c r="G117">
        <v>8000</v>
      </c>
      <c r="H117">
        <v>16000</v>
      </c>
      <c r="I117" t="s">
        <v>22</v>
      </c>
      <c r="J117" t="s">
        <v>28</v>
      </c>
    </row>
    <row r="118" spans="1:10" x14ac:dyDescent="0.25">
      <c r="A118" t="s">
        <v>347</v>
      </c>
      <c r="B118" t="s">
        <v>104</v>
      </c>
      <c r="C118" t="s">
        <v>348</v>
      </c>
      <c r="D118" t="s">
        <v>27</v>
      </c>
      <c r="E118" t="s">
        <v>21</v>
      </c>
      <c r="F118">
        <v>2</v>
      </c>
      <c r="G118">
        <v>12000</v>
      </c>
      <c r="H118">
        <v>24000</v>
      </c>
      <c r="I118" t="s">
        <v>22</v>
      </c>
      <c r="J118" t="s">
        <v>28</v>
      </c>
    </row>
    <row r="119" spans="1:10" x14ac:dyDescent="0.25">
      <c r="A119" t="s">
        <v>349</v>
      </c>
      <c r="B119" t="s">
        <v>107</v>
      </c>
      <c r="C119" t="s">
        <v>350</v>
      </c>
      <c r="D119" t="s">
        <v>47</v>
      </c>
      <c r="E119" t="s">
        <v>14</v>
      </c>
      <c r="F119">
        <v>1</v>
      </c>
      <c r="G119">
        <v>1500</v>
      </c>
      <c r="H119">
        <v>1500</v>
      </c>
      <c r="I119" t="s">
        <v>54</v>
      </c>
      <c r="J119" t="s">
        <v>23</v>
      </c>
    </row>
    <row r="120" spans="1:10" x14ac:dyDescent="0.25">
      <c r="A120" t="s">
        <v>351</v>
      </c>
      <c r="B120" t="s">
        <v>110</v>
      </c>
      <c r="C120" t="s">
        <v>352</v>
      </c>
      <c r="D120" t="s">
        <v>47</v>
      </c>
      <c r="E120" t="s">
        <v>14</v>
      </c>
      <c r="F120">
        <v>2</v>
      </c>
      <c r="G120">
        <v>1500</v>
      </c>
      <c r="H120">
        <v>3000</v>
      </c>
      <c r="I120" t="s">
        <v>22</v>
      </c>
      <c r="J120" t="s">
        <v>43</v>
      </c>
    </row>
    <row r="121" spans="1:10" x14ac:dyDescent="0.25">
      <c r="A121" t="s">
        <v>353</v>
      </c>
      <c r="B121" t="s">
        <v>113</v>
      </c>
      <c r="C121" t="s">
        <v>354</v>
      </c>
      <c r="D121" t="s">
        <v>20</v>
      </c>
      <c r="E121" t="s">
        <v>21</v>
      </c>
      <c r="F121">
        <v>3</v>
      </c>
      <c r="G121">
        <v>5000</v>
      </c>
      <c r="H121">
        <v>15000</v>
      </c>
      <c r="I121" t="s">
        <v>54</v>
      </c>
      <c r="J121" t="s">
        <v>23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Sheet2</vt:lpstr>
      <vt:lpstr>Sheet4</vt:lpstr>
      <vt:lpstr>RetailSales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nobuhle msezane</cp:lastModifiedBy>
  <dcterms:created xsi:type="dcterms:W3CDTF">2026-06-29T10:18:19Z</dcterms:created>
  <dcterms:modified xsi:type="dcterms:W3CDTF">2026-09-08T16:18:52Z</dcterms:modified>
</cp:coreProperties>
</file>